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" sheetId="1" state="visible" r:id="rId3"/>
    <sheet name="Resumen" sheetId="2" state="visible" r:id="rId4"/>
  </sheets>
  <definedNames>
    <definedName function="false" hidden="false" localSheetId="0" name="_xlnm.Print_Titles" vbProcedure="false">Gantt!$6:$8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<sst xmlns="http://schemas.openxmlformats.org/spreadsheetml/2006/main" count="158" uniqueCount="100">
  <si>
    <t xml:space="preserve">Gantt · Evaluación Sumativa N.º 2 — Arquitectura de Big Data en AWS</t>
  </si>
  <si>
    <t xml:space="preserve">TecnoParts Chile · Big Data U2 · Equipo de 3 integrantes · Hitos en día 5 y día 10 · Entrega día 14</t>
  </si>
  <si>
    <t xml:space="preserve">Fecha de inicio (Día 1):</t>
  </si>
  <si>
    <t xml:space="preserve">HORAS ESTIMADAS</t>
  </si>
  <si>
    <t xml:space="preserve">HORAS REALES</t>
  </si>
  <si>
    <t xml:space="preserve">AVANCE GLOBAL</t>
  </si>
  <si>
    <t xml:space="preserve">TAREAS LISTAS</t>
  </si>
  <si>
    <t xml:space="preserve">Texto azul = editable · Barra oscura = avance · ◆ = hito · Columna amarilla = hoy</t>
  </si>
  <si>
    <t xml:space="preserve">ID</t>
  </si>
  <si>
    <t xml:space="preserve">Etapa</t>
  </si>
  <si>
    <t xml:space="preserve">Tarea</t>
  </si>
  <si>
    <t xml:space="preserve">Responsable</t>
  </si>
  <si>
    <t xml:space="preserve">Depende de</t>
  </si>
  <si>
    <t xml:space="preserve">Inicio
(día)</t>
  </si>
  <si>
    <t xml:space="preserve">Dur.
(días)</t>
  </si>
  <si>
    <t xml:space="preserve">Fecha
inicio</t>
  </si>
  <si>
    <t xml:space="preserve">Fecha
fin</t>
  </si>
  <si>
    <t xml:space="preserve">Horas
est.</t>
  </si>
  <si>
    <t xml:space="preserve">Horas
reales</t>
  </si>
  <si>
    <t xml:space="preserve">Desv.
(h)</t>
  </si>
  <si>
    <t xml:space="preserve">% avance</t>
  </si>
  <si>
    <t xml:space="preserve">Estado</t>
  </si>
  <si>
    <t xml:space="preserve">T01</t>
  </si>
  <si>
    <t xml:space="preserve">0 · Planificación</t>
  </si>
  <si>
    <t xml:space="preserve">Gantt/Kanban inicial, repo Git y .gitignore</t>
  </si>
  <si>
    <t xml:space="preserve">Integrante 1</t>
  </si>
  <si>
    <t xml:space="preserve">—</t>
  </si>
  <si>
    <t xml:space="preserve">T02</t>
  </si>
  <si>
    <t xml:space="preserve">1 · Infraestructura</t>
  </si>
  <si>
    <t xml:space="preserve">Generar dataset con semilla personal (E11)</t>
  </si>
  <si>
    <t xml:space="preserve">T03</t>
  </si>
  <si>
    <t xml:space="preserve">Script reconstruir_cluster.sh (8 nodos, ZK, Spark HA)</t>
  </si>
  <si>
    <t xml:space="preserve">T04</t>
  </si>
  <si>
    <t xml:space="preserve">Verificar ZooKeeper y WebUI de masters (E1, E2, E9)</t>
  </si>
  <si>
    <t xml:space="preserve">T05</t>
  </si>
  <si>
    <t xml:space="preserve">2 · Ingesta</t>
  </si>
  <si>
    <t xml:space="preserve">Bucket S3, carga de raw/ y acceso S3A (E8)</t>
  </si>
  <si>
    <t xml:space="preserve">H1</t>
  </si>
  <si>
    <t xml:space="preserve">Hito</t>
  </si>
  <si>
    <t xml:space="preserve">◆ HITO 1 · Control de avance (sin nota)</t>
  </si>
  <si>
    <t xml:space="preserve">Todos</t>
  </si>
  <si>
    <t xml:space="preserve">T04, T05</t>
  </si>
  <si>
    <t xml:space="preserve">T06</t>
  </si>
  <si>
    <t xml:space="preserve">3 · ETL</t>
  </si>
  <si>
    <t xml:space="preserve">ETL: esquema explícito y 4 reglas de calidad</t>
  </si>
  <si>
    <t xml:space="preserve">Integrante 2</t>
  </si>
  <si>
    <t xml:space="preserve">T07</t>
  </si>
  <si>
    <t xml:space="preserve">ETL: joins y Parquet particionado en curated/ (E8)</t>
  </si>
  <si>
    <t xml:space="preserve">T08</t>
  </si>
  <si>
    <t xml:space="preserve">4 · Modelo</t>
  </si>
  <si>
    <t xml:space="preserve">Modelo: tabla de entrada y primera versión</t>
  </si>
  <si>
    <t xml:space="preserve">Integrante 3</t>
  </si>
  <si>
    <t xml:space="preserve">T09</t>
  </si>
  <si>
    <t xml:space="preserve">Modelo: métricas, validación y results/</t>
  </si>
  <si>
    <t xml:space="preserve">T07, T08</t>
  </si>
  <si>
    <t xml:space="preserve">T10</t>
  </si>
  <si>
    <t xml:space="preserve">5 · Failover</t>
  </si>
  <si>
    <t xml:space="preserve">Ensayo de failover (detener master-1 y medir)</t>
  </si>
  <si>
    <t xml:space="preserve">H2</t>
  </si>
  <si>
    <t xml:space="preserve">◆ HITO 2 · ETL, modelo v1 y failover ensayado</t>
  </si>
  <si>
    <t xml:space="preserve">T07, T08, T10</t>
  </si>
  <si>
    <t xml:space="preserve">T11</t>
  </si>
  <si>
    <t xml:space="preserve">spark-submit final en HA y evidencias E3–E7, E10</t>
  </si>
  <si>
    <t xml:space="preserve">T09, T10</t>
  </si>
  <si>
    <t xml:space="preserve">T12</t>
  </si>
  <si>
    <t xml:space="preserve">6 · Análisis crítico</t>
  </si>
  <si>
    <t xml:space="preserve">Análisis ZooKeeper, quórum y puntos únicos de falla</t>
  </si>
  <si>
    <t xml:space="preserve">T13</t>
  </si>
  <si>
    <t xml:space="preserve">Diagramas propios y tabla costo/beneficio</t>
  </si>
  <si>
    <t xml:space="preserve">T14</t>
  </si>
  <si>
    <t xml:space="preserve">7 · Informe y defensa</t>
  </si>
  <si>
    <t xml:space="preserve">Informe técnico (≤12 págs) y anexos E1–E13</t>
  </si>
  <si>
    <t xml:space="preserve">T11, T13</t>
  </si>
  <si>
    <t xml:space="preserve">T15</t>
  </si>
  <si>
    <t xml:space="preserve">DECLARACION_IA.md y revisión del repo (sin .pem)</t>
  </si>
  <si>
    <t xml:space="preserve">T16</t>
  </si>
  <si>
    <t xml:space="preserve">Cierre del plan: horas reales y retrospectiva</t>
  </si>
  <si>
    <t xml:space="preserve">H3</t>
  </si>
  <si>
    <t xml:space="preserve">◆ ENTREGA FINAL · informe + repo (23:59)</t>
  </si>
  <si>
    <t xml:space="preserve">T14, T15, T16</t>
  </si>
  <si>
    <t xml:space="preserve">T17</t>
  </si>
  <si>
    <t xml:space="preserve">Preparar y grabar defensa (video ≤5 min)</t>
  </si>
  <si>
    <t xml:space="preserve">TOTAL</t>
  </si>
  <si>
    <t xml:space="preserve">Supuestos</t>
  </si>
  <si>
    <t xml:space="preserve">• Horas estimadas: supuesto inicial del equipo (≈66 h en total, ~22 h por integrante; el enunciado indica 18 a 22 h de trabajo autónomo por persona). Ajústelas.</t>
  </si>
  <si>
    <t xml:space="preserve">• Día 1 = fecha de inicio (celda amarilla E4). Hitos del enunciado: Hito 1 = día 5, Hito 2 = día 10, entrega final = día 14 (23:59), defensa la semana siguiente.</t>
  </si>
  <si>
    <t xml:space="preserve">• Al terminar cada tarea registre Horas reales (col. L) y % avance (col. N). La desviación = real − estimado. Esto alimenta la retrospectiva (D13 y D14).</t>
  </si>
  <si>
    <t xml:space="preserve">• Estado se calcula solo: Completado (100%), En curso (&gt;0%), Atrasado (fecha fin vencida sin completar) o Pendiente.</t>
  </si>
  <si>
    <t xml:space="preserve">Resumen del plan</t>
  </si>
  <si>
    <t xml:space="preserve">Calculado automáticamente desde la hoja Gantt</t>
  </si>
  <si>
    <t xml:space="preserve">Por etapa</t>
  </si>
  <si>
    <t xml:space="preserve">Tareas</t>
  </si>
  <si>
    <t xml:space="preserve">Horas est.</t>
  </si>
  <si>
    <t xml:space="preserve">Horas reales</t>
  </si>
  <si>
    <t xml:space="preserve">Desv. (h)</t>
  </si>
  <si>
    <t xml:space="preserve">Avance</t>
  </si>
  <si>
    <t xml:space="preserve">Total</t>
  </si>
  <si>
    <t xml:space="preserve">Por responsable</t>
  </si>
  <si>
    <t xml:space="preserve">• Las horas de «Todos» son trabajo compartido; repártalas entre los 3 al evaluar la carga.</t>
  </si>
  <si>
    <t xml:space="preserve">• Para usar nombres reales: Buscar y reemplazar «Integrante 1» (Ctrl+L) en el libro completo.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</si>
</sst>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dd/mm/yyyy"/>
    <numFmt numFmtId="166" formatCode="0.0"/>
    <numFmt numFmtId="167" formatCode="0%"/>
    <numFmt numFmtId="168" formatCode="@"/>
    <numFmt numFmtId="169" formatCode="\D0"/>
    <numFmt numFmtId="170" formatCode="dd/mm"/>
    <numFmt numFmtId="171" formatCode="dd/mm/yy"/>
    <numFmt numFmtId="172" formatCode="\+0.0;\-0.0;0.0"/>
    <numFmt numFmtId="173" formatCode="General"/>
    <numFmt numFmtId="174" formatCode="0"/>
  </numFmts>
  <fonts count="4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C9D6E8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8"/>
      <color rgb="FF6B7785"/>
      <name val="Arial"/>
      <family val="0"/>
      <charset val="1"/>
    </font>
    <font>
      <i val="true"/>
      <sz val="9"/>
      <color rgb="FF6B7785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FFFFFF"/>
      <name val="Arial"/>
      <family val="0"/>
      <charset val="1"/>
    </font>
    <font>
      <sz val="7"/>
      <color rgb="FFFFFFFF"/>
      <name val="Arial"/>
      <family val="0"/>
      <charset val="1"/>
    </font>
    <font>
      <b val="true"/>
      <sz val="9"/>
      <color rgb="FF6B7785"/>
      <name val="Arial"/>
      <family val="0"/>
      <charset val="1"/>
    </font>
    <font>
      <b val="true"/>
      <sz val="9"/>
      <color rgb="FF6A4FB0"/>
      <name val="Arial"/>
      <family val="0"/>
      <charset val="1"/>
    </font>
    <font>
      <sz val="10"/>
      <color rgb="FF2B344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2B3440"/>
      <name val="Arial"/>
      <family val="0"/>
      <charset val="1"/>
    </font>
    <font>
      <b val="true"/>
      <sz val="10"/>
      <color rgb="FF7A5C00"/>
      <name val="Arial"/>
      <family val="0"/>
      <charset val="1"/>
    </font>
    <font>
      <b val="true"/>
      <sz val="9"/>
      <color rgb="FF1F5C99"/>
      <name val="Arial"/>
      <family val="0"/>
      <charset val="1"/>
    </font>
    <font>
      <b val="true"/>
      <sz val="9"/>
      <color rgb="FF0F7F90"/>
      <name val="Arial"/>
      <family val="0"/>
      <charset val="1"/>
    </font>
    <font>
      <b val="true"/>
      <sz val="9"/>
      <color rgb="FFC99A00"/>
      <name val="Arial"/>
      <family val="0"/>
      <charset val="1"/>
    </font>
    <font>
      <b val="true"/>
      <sz val="9"/>
      <color rgb="FF23805F"/>
      <name val="Arial"/>
      <family val="0"/>
      <charset val="1"/>
    </font>
    <font>
      <b val="true"/>
      <sz val="9"/>
      <color rgb="FFC76A14"/>
      <name val="Arial"/>
      <family val="0"/>
      <charset val="1"/>
    </font>
    <font>
      <b val="true"/>
      <sz val="9"/>
      <color rgb="FFB03A36"/>
      <name val="Arial"/>
      <family val="0"/>
      <charset val="1"/>
    </font>
    <font>
      <b val="true"/>
      <sz val="9"/>
      <color rgb="FF4F5B67"/>
      <name val="Arial"/>
      <family val="0"/>
      <charset val="1"/>
    </font>
    <font>
      <b val="true"/>
      <sz val="9"/>
      <color rgb="FFA0306F"/>
      <name val="Arial"/>
      <family val="0"/>
      <charset val="1"/>
    </font>
    <font>
      <b val="true"/>
      <sz val="9"/>
      <color rgb="FF1F3A5F"/>
      <name val="Arial"/>
      <family val="0"/>
      <charset val="1"/>
    </font>
    <font>
      <sz val="9"/>
      <color rgb="FF4A5563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9"/>
      <color rgb="FFC9D6E8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0"/>
      <color rgb="FF6A4FB0"/>
      <name val="Arial"/>
      <family val="0"/>
      <charset val="1"/>
    </font>
    <font>
      <b val="true"/>
      <sz val="10"/>
      <color rgb="FF1F5C99"/>
      <name val="Arial"/>
      <family val="0"/>
      <charset val="1"/>
    </font>
    <font>
      <b val="true"/>
      <sz val="10"/>
      <color rgb="FF0F7F90"/>
      <name val="Arial"/>
      <family val="0"/>
      <charset val="1"/>
    </font>
    <font>
      <b val="true"/>
      <sz val="10"/>
      <color rgb="FF23805F"/>
      <name val="Arial"/>
      <family val="0"/>
      <charset val="1"/>
    </font>
    <font>
      <b val="true"/>
      <sz val="10"/>
      <color rgb="FFC76A14"/>
      <name val="Arial"/>
      <family val="0"/>
      <charset val="1"/>
    </font>
    <font>
      <b val="true"/>
      <sz val="10"/>
      <color rgb="FFB03A36"/>
      <name val="Arial"/>
      <family val="0"/>
      <charset val="1"/>
    </font>
    <font>
      <b val="true"/>
      <sz val="10"/>
      <color rgb="FF4F5B67"/>
      <name val="Arial"/>
      <family val="0"/>
      <charset val="1"/>
    </font>
    <font>
      <b val="true"/>
      <sz val="10"/>
      <color rgb="FFA0306F"/>
      <name val="Arial"/>
      <family val="0"/>
      <charset val="1"/>
    </font>
    <font>
      <b val="true"/>
      <sz val="10"/>
      <color rgb="FF2B344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3A5F"/>
        <bgColor rgb="FF2B3440"/>
      </patternFill>
    </fill>
    <fill>
      <patternFill patternType="solid">
        <fgColor rgb="FFFFF4B8"/>
        <bgColor rgb="FFFFF1B0"/>
      </patternFill>
    </fill>
    <fill>
      <patternFill patternType="solid">
        <fgColor rgb="FFEAF1F8"/>
        <bgColor rgb="FFEEF0F3"/>
      </patternFill>
    </fill>
    <fill>
      <patternFill patternType="solid">
        <fgColor rgb="FFE8E3F6"/>
        <bgColor rgb="FFE3E8EE"/>
      </patternFill>
    </fill>
    <fill>
      <patternFill patternType="solid">
        <fgColor rgb="FFDCEBFA"/>
        <bgColor rgb="FFD9F0F4"/>
      </patternFill>
    </fill>
    <fill>
      <patternFill patternType="solid">
        <fgColor rgb="FFD9F0F4"/>
        <bgColor rgb="FFDCEBFA"/>
      </patternFill>
    </fill>
    <fill>
      <patternFill patternType="solid">
        <fgColor rgb="FFFDF1C7"/>
        <bgColor rgb="FFFFF4B8"/>
      </patternFill>
    </fill>
    <fill>
      <patternFill patternType="solid">
        <fgColor rgb="FFDDF2E8"/>
        <bgColor rgb="FFD9F0F4"/>
      </patternFill>
    </fill>
    <fill>
      <patternFill patternType="solid">
        <fgColor rgb="FFFCE9D3"/>
        <bgColor rgb="FFFDF1C7"/>
      </patternFill>
    </fill>
    <fill>
      <patternFill patternType="solid">
        <fgColor rgb="FFF8DEDD"/>
        <bgColor rgb="FFF5DDEB"/>
      </patternFill>
    </fill>
    <fill>
      <patternFill patternType="solid">
        <fgColor rgb="FFE6E9EC"/>
        <bgColor rgb="FFE3E8EE"/>
      </patternFill>
    </fill>
    <fill>
      <patternFill patternType="solid">
        <fgColor rgb="FFF5DDEB"/>
        <bgColor rgb="FFF8DEDD"/>
      </patternFill>
    </fill>
    <fill>
      <patternFill patternType="solid">
        <fgColor rgb="FF35557F"/>
        <bgColor rgb="FF4A5563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E3E8EE"/>
      </left>
      <right style="thin">
        <color rgb="FFE3E8EE"/>
      </right>
      <top style="thin">
        <color rgb="FFE3E8EE"/>
      </top>
      <bottom style="thin">
        <color rgb="FFE3E8EE"/>
      </bottom>
      <diagonal/>
    </border>
    <border diagonalUp="false" diagonalDown="false">
      <left style="thin">
        <color rgb="FFC9D6E8"/>
      </left>
      <right style="thin">
        <color rgb="FFC9D6E8"/>
      </right>
      <top style="thin">
        <color rgb="FFC9D6E8"/>
      </top>
      <bottom/>
      <diagonal/>
    </border>
    <border diagonalUp="false" diagonalDown="false">
      <left style="thin">
        <color rgb="FFC9D6E8"/>
      </left>
      <right style="thin">
        <color rgb="FFC9D6E8"/>
      </right>
      <top/>
      <bottom style="thin">
        <color rgb="FFC9D6E8"/>
      </bottom>
      <diagonal/>
    </border>
    <border diagonalUp="false" diagonalDown="false">
      <left style="thin">
        <color rgb="FF35557F"/>
      </left>
      <right style="thin">
        <color rgb="FF35557F"/>
      </right>
      <top/>
      <bottom/>
      <diagonal/>
    </border>
    <border diagonalUp="false" diagonalDown="false">
      <left/>
      <right/>
      <top style="medium">
        <color rgb="FF1F3A5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2" borderId="4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6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6" fontId="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1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5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6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36" fillId="7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37" fillId="9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38" fillId="1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39" fillId="11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40" fillId="12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41" fillId="1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4" borderId="5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74" fontId="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8">
    <dxf>
      <fill>
        <patternFill>
          <bgColor rgb="FF6A4FB0"/>
        </patternFill>
      </fill>
    </dxf>
    <dxf>
      <fill>
        <patternFill>
          <bgColor rgb="FFB4A7DD"/>
        </patternFill>
      </fill>
    </dxf>
    <dxf>
      <fill>
        <patternFill>
          <bgColor rgb="FF1F5C99"/>
        </patternFill>
      </fill>
    </dxf>
    <dxf>
      <fill>
        <patternFill>
          <bgColor rgb="FF7FB0DE"/>
        </patternFill>
      </fill>
    </dxf>
    <dxf>
      <fill>
        <patternFill>
          <bgColor rgb="FF0F7F90"/>
        </patternFill>
      </fill>
    </dxf>
    <dxf>
      <fill>
        <patternFill>
          <bgColor rgb="FF7CCBD8"/>
        </patternFill>
      </fill>
    </dxf>
    <dxf>
      <fill>
        <patternFill>
          <bgColor rgb="FF23805F"/>
        </patternFill>
      </fill>
    </dxf>
    <dxf>
      <fill>
        <patternFill>
          <bgColor rgb="FF8CD0B5"/>
        </patternFill>
      </fill>
    </dxf>
    <dxf>
      <fill>
        <patternFill>
          <bgColor rgb="FFC76A14"/>
        </patternFill>
      </fill>
    </dxf>
    <dxf>
      <fill>
        <patternFill>
          <bgColor rgb="FFF2B87A"/>
        </patternFill>
      </fill>
    </dxf>
    <dxf>
      <fill>
        <patternFill>
          <bgColor rgb="FFB03A36"/>
        </patternFill>
      </fill>
    </dxf>
    <dxf>
      <fill>
        <patternFill>
          <bgColor rgb="FFEDA19E"/>
        </patternFill>
      </fill>
    </dxf>
    <dxf>
      <fill>
        <patternFill>
          <bgColor rgb="FF4F5B67"/>
        </patternFill>
      </fill>
    </dxf>
    <dxf>
      <fill>
        <patternFill>
          <bgColor rgb="FFA8B2BC"/>
        </patternFill>
      </fill>
    </dxf>
    <dxf>
      <fill>
        <patternFill>
          <bgColor rgb="FFA0306F"/>
        </patternFill>
      </fill>
    </dxf>
    <dxf>
      <fill>
        <patternFill>
          <bgColor rgb="FFE0A0C5"/>
        </patternFill>
      </fill>
    </dxf>
    <dxf>
      <fill>
        <patternFill>
          <bgColor rgb="FFC99A00"/>
        </patternFill>
      </fill>
    </dxf>
    <dxf>
      <fill>
        <patternFill>
          <bgColor rgb="FFF2C94C"/>
        </patternFill>
      </fill>
    </dxf>
    <dxf>
      <fill>
        <patternFill>
          <bgColor rgb="FFFFF1B0"/>
        </patternFill>
      </fill>
    </dxf>
    <dxf>
      <fill>
        <patternFill>
          <bgColor rgb="FFF3F5F8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E0A800"/>
        </patternFill>
      </fill>
    </dxf>
    <dxf>
      <fill>
        <patternFill>
          <bgColor rgb="FF4A6A93"/>
        </patternFill>
      </fill>
    </dxf>
    <dxf>
      <font>
        <name val="Arial"/>
        <charset val="1"/>
        <family val="0"/>
        <b val="1"/>
        <color rgb="FF1E6B3A"/>
      </font>
      <fill>
        <patternFill>
          <bgColor rgb="FFD6EFDF"/>
        </patternFill>
      </fill>
    </dxf>
    <dxf>
      <font>
        <name val="Arial"/>
        <charset val="1"/>
        <family val="0"/>
        <b val="1"/>
        <color rgb="FF1F5C99"/>
      </font>
      <fill>
        <patternFill>
          <bgColor rgb="FFDCEBFA"/>
        </patternFill>
      </fill>
    </dxf>
    <dxf>
      <font>
        <name val="Arial"/>
        <charset val="1"/>
        <family val="0"/>
        <b val="1"/>
        <color rgb="FFB03A36"/>
      </font>
      <fill>
        <patternFill>
          <bgColor rgb="FFF8D7D5"/>
        </patternFill>
      </fill>
    </dxf>
    <dxf>
      <font>
        <name val="Arial"/>
        <charset val="1"/>
        <family val="0"/>
        <b val="1"/>
        <color rgb="FF5A6570"/>
      </font>
      <fill>
        <patternFill>
          <bgColor rgb="FFEEF0F3"/>
        </patternFill>
      </fill>
    </dxf>
    <dxf>
      <font>
        <name val="Arial"/>
        <charset val="1"/>
        <family val="0"/>
        <b val="1"/>
        <color rgb="FFB03A36"/>
      </font>
    </dxf>
    <dxf>
      <font>
        <name val="Arial"/>
        <charset val="1"/>
        <family val="0"/>
        <b val="1"/>
        <color rgb="FF1E6B3A"/>
      </font>
    </dxf>
  </dxfs>
  <colors>
    <indexedColors>
      <rgbColor rgb="FF000000"/>
      <rgbColor rgb="FFFFFFFF"/>
      <rgbColor rgb="FFE08E2B"/>
      <rgbColor rgb="FFE8E3F6"/>
      <rgbColor rgb="FF0000FF"/>
      <rgbColor rgb="FFFDF1C7"/>
      <rgbColor rgb="FFF8D7D5"/>
      <rgbColor rgb="FFDCEBFA"/>
      <rgbColor rgb="FFEAF1F8"/>
      <rgbColor rgb="FF1E6B3A"/>
      <rgbColor rgb="FF000080"/>
      <rgbColor rgb="FF7A5C00"/>
      <rgbColor rgb="FF6A4FB0"/>
      <rgbColor rgb="FF0F7F90"/>
      <rgbColor rgb="FFA8B2BC"/>
      <rgbColor rgb="FF878787"/>
      <rgbColor rgb="FF7FB0DE"/>
      <rgbColor rgb="FFA0306F"/>
      <rgbColor rgb="FFFFF4B8"/>
      <rgbColor rgb="FFD9F0F4"/>
      <rgbColor rgb="FFEEF0F3"/>
      <rgbColor rgb="FFEDA19E"/>
      <rgbColor rgb="FF1F5C99"/>
      <rgbColor rgb="FFC9D6E8"/>
      <rgbColor rgb="FF000080"/>
      <rgbColor rgb="FFF5DDEB"/>
      <rgbColor rgb="FFFCE9D3"/>
      <rgbColor rgb="FFE3E8EE"/>
      <rgbColor rgb="FFF8DEDD"/>
      <rgbColor rgb="FFF3F5F8"/>
      <rgbColor rgb="FF23805F"/>
      <rgbColor rgb="FFF9F9F9"/>
      <rgbColor rgb="FFE6E9EC"/>
      <rgbColor rgb="FFDDF2E8"/>
      <rgbColor rgb="FFD6EFDF"/>
      <rgbColor rgb="FFFFF1B0"/>
      <rgbColor rgb="FF7CCBD8"/>
      <rgbColor rgb="FFE0A0C5"/>
      <rgbColor rgb="FFB4A7DD"/>
      <rgbColor rgb="FFF2B87A"/>
      <rgbColor rgb="FF4A6A93"/>
      <rgbColor rgb="FFD9D9D9"/>
      <rgbColor rgb="FFC99A00"/>
      <rgbColor rgb="FFF2C94C"/>
      <rgbColor rgb="FFE0A800"/>
      <rgbColor rgb="FFC76A14"/>
      <rgbColor rgb="FF6B7785"/>
      <rgbColor rgb="FF8CD0B5"/>
      <rgbColor rgb="FF1F3A5F"/>
      <rgbColor rgb="FF3AA17E"/>
      <rgbColor rgb="FF5A6570"/>
      <rgbColor rgb="FF4A5563"/>
      <rgbColor rgb="FF4F5B67"/>
      <rgbColor rgb="FFB03A36"/>
      <rgbColor rgb="FF35557F"/>
      <rgbColor rgb="FF2B34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Horas estimadas vs. reales por etapa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Resumen!C5</c:f>
              <c:strCache>
                <c:ptCount val="1"/>
                <c:pt idx="0">
                  <c:v>Horas est.</c:v>
                </c:pt>
              </c:strCache>
            </c:strRef>
          </c:tx>
          <c:spPr>
            <a:solidFill>
              <a:srgbClr val="7fb0d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Resumen!$A$6:$A$13</c:f>
              <c:strCache>
                <c:ptCount val="8"/>
                <c:pt idx="0">
                  <c:v>0 · Planificación</c:v>
                </c:pt>
                <c:pt idx="1">
                  <c:v>1 · Infraestructura</c:v>
                </c:pt>
                <c:pt idx="2">
                  <c:v>2 · Ingesta</c:v>
                </c:pt>
                <c:pt idx="3">
                  <c:v>3 · ETL</c:v>
                </c:pt>
                <c:pt idx="4">
                  <c:v>4 · Modelo</c:v>
                </c:pt>
                <c:pt idx="5">
                  <c:v>5 · Failover</c:v>
                </c:pt>
                <c:pt idx="6">
                  <c:v>6 · Análisis crítico</c:v>
                </c:pt>
                <c:pt idx="7">
                  <c:v>7 · Informe y defensa</c:v>
                </c:pt>
              </c:strCache>
            </c:strRef>
          </c:cat>
          <c:val>
            <c:numRef>
              <c:f>Resumen!$C$6:$C$13</c:f>
              <c:numCache>
                <c:formatCode>0.0</c:formatCode>
                <c:ptCount val="8"/>
                <c:pt idx="0">
                  <c:v>2</c:v>
                </c:pt>
                <c:pt idx="1">
                  <c:v>9</c:v>
                </c:pt>
                <c:pt idx="2">
                  <c:v>3</c:v>
                </c:pt>
                <c:pt idx="3">
                  <c:v>11</c:v>
                </c:pt>
                <c:pt idx="4">
                  <c:v>10</c:v>
                </c:pt>
                <c:pt idx="5">
                  <c:v>8</c:v>
                </c:pt>
                <c:pt idx="6">
                  <c:v>8</c:v>
                </c:pt>
                <c:pt idx="7">
                  <c:v>15</c:v>
                </c:pt>
              </c:numCache>
            </c:numRef>
          </c:val>
        </c:ser>
        <c:ser>
          <c:idx val="1"/>
          <c:order val="1"/>
          <c:tx>
            <c:strRef>
              <c:f>Resumen!D5</c:f>
              <c:strCache>
                <c:ptCount val="1"/>
                <c:pt idx="0">
                  <c:v>Horas reales</c:v>
                </c:pt>
              </c:strCache>
            </c:strRef>
          </c:tx>
          <c:spPr>
            <a:solidFill>
              <a:srgbClr val="e08e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Resumen!$A$6:$A$13</c:f>
              <c:strCache>
                <c:ptCount val="8"/>
                <c:pt idx="0">
                  <c:v>0 · Planificación</c:v>
                </c:pt>
                <c:pt idx="1">
                  <c:v>1 · Infraestructura</c:v>
                </c:pt>
                <c:pt idx="2">
                  <c:v>2 · Ingesta</c:v>
                </c:pt>
                <c:pt idx="3">
                  <c:v>3 · ETL</c:v>
                </c:pt>
                <c:pt idx="4">
                  <c:v>4 · Modelo</c:v>
                </c:pt>
                <c:pt idx="5">
                  <c:v>5 · Failover</c:v>
                </c:pt>
                <c:pt idx="6">
                  <c:v>6 · Análisis crítico</c:v>
                </c:pt>
                <c:pt idx="7">
                  <c:v>7 · Informe y defensa</c:v>
                </c:pt>
              </c:strCache>
            </c:strRef>
          </c:cat>
          <c:val>
            <c:numRef>
              <c:f>Resumen!$D$6:$D$13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65767833"/>
        <c:axId val="3104845"/>
      </c:barChart>
      <c:catAx>
        <c:axId val="657678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4845"/>
        <c:crosses val="autoZero"/>
        <c:auto val="1"/>
        <c:lblAlgn val="ctr"/>
        <c:lblOffset val="100"/>
        <c:noMultiLvlLbl val="0"/>
      </c:catAx>
      <c:valAx>
        <c:axId val="31048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7678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25</xdr:row>
      <xdr:rowOff>0</xdr:rowOff>
    </xdr:from>
    <xdr:to>
      <xdr:col>5</xdr:col>
      <xdr:colOff>833400</xdr:colOff>
      <xdr:row>41</xdr:row>
      <xdr:rowOff>11520</xdr:rowOff>
    </xdr:to>
    <xdr:graphicFrame>
      <xdr:nvGraphicFramePr>
        <xdr:cNvPr id="0" name="Chart 1"/>
        <xdr:cNvGraphicFramePr/>
      </xdr:nvGraphicFramePr>
      <xdr:xfrm>
        <a:off x="0" y="578160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AF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8" topLeftCell="E9" activePane="bottomRight" state="frozen"/>
      <selection pane="topLeft" activeCell="A1" activeCellId="0" sqref="A1"/>
      <selection pane="topRight" activeCell="E1" activeCellId="0" sqref="E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9"/>
    <col collapsed="false" customWidth="true" hidden="false" outlineLevel="0" max="4" min="4" style="0" width="47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8" min="7" style="0" width="7"/>
    <col collapsed="false" customWidth="true" hidden="false" outlineLevel="0" max="10" min="9" style="0" width="10"/>
    <col collapsed="false" customWidth="true" hidden="false" outlineLevel="0" max="12" min="11" style="0" width="8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5" min="15" style="0" width="12"/>
    <col collapsed="false" customWidth="true" hidden="false" outlineLevel="0" max="31" min="16" style="0" width="4.6"/>
  </cols>
  <sheetData>
    <row r="1" customFormat="false" ht="30" hidden="false" customHeight="tru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9.5" hidden="false" customHeight="true" outlineLevel="0" collapsed="false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customFormat="false" ht="7.5" hidden="false" customHeight="true" outlineLevel="0" collapsed="false"/>
    <row r="4" customFormat="false" ht="19.5" hidden="false" customHeight="true" outlineLevel="0" collapsed="false">
      <c r="B4" s="4" t="s">
        <v>2</v>
      </c>
      <c r="E4" s="5" t="n">
        <v>46307</v>
      </c>
      <c r="G4" s="6" t="s">
        <v>3</v>
      </c>
      <c r="H4" s="6"/>
      <c r="I4" s="6" t="s">
        <v>4</v>
      </c>
      <c r="J4" s="6"/>
      <c r="K4" s="6" t="s">
        <v>5</v>
      </c>
      <c r="L4" s="6"/>
      <c r="M4" s="6" t="s">
        <v>6</v>
      </c>
      <c r="N4" s="6"/>
    </row>
    <row r="5" customFormat="false" ht="27.75" hidden="false" customHeight="true" outlineLevel="0" collapsed="false">
      <c r="B5" s="7" t="s">
        <v>7</v>
      </c>
      <c r="G5" s="8" t="n">
        <f aca="false">SUM($K$9:$K$28)</f>
        <v>66</v>
      </c>
      <c r="H5" s="8"/>
      <c r="I5" s="8" t="n">
        <f aca="false">SUM($L$9:$L$28)</f>
        <v>0</v>
      </c>
      <c r="J5" s="8"/>
      <c r="K5" s="9" t="n">
        <f aca="false">IFERROR(SUMPRODUCT($K$9:$K$28,$N$9:$N$28)/SUM($K$9:$K$28),0)</f>
        <v>0</v>
      </c>
      <c r="L5" s="9"/>
      <c r="M5" s="10" t="str">
        <f aca="false">COUNTIF($O$9:$O$28,"Completado")&amp;" / "&amp;COUNTA($B$9:$B$28)</f>
        <v>0 / 20</v>
      </c>
      <c r="N5" s="10"/>
    </row>
    <row r="6" customFormat="false" ht="15.75" hidden="false" customHeight="true" outlineLevel="0" collapsed="false">
      <c r="B6" s="11" t="s">
        <v>8</v>
      </c>
      <c r="C6" s="12" t="s">
        <v>9</v>
      </c>
      <c r="D6" s="12" t="s">
        <v>10</v>
      </c>
      <c r="E6" s="11" t="s">
        <v>11</v>
      </c>
      <c r="F6" s="11" t="s">
        <v>12</v>
      </c>
      <c r="G6" s="11" t="s">
        <v>13</v>
      </c>
      <c r="H6" s="11" t="s">
        <v>14</v>
      </c>
      <c r="I6" s="11" t="s">
        <v>15</v>
      </c>
      <c r="J6" s="11" t="s">
        <v>16</v>
      </c>
      <c r="K6" s="11" t="s">
        <v>17</v>
      </c>
      <c r="L6" s="11" t="s">
        <v>18</v>
      </c>
      <c r="M6" s="11" t="s">
        <v>19</v>
      </c>
      <c r="N6" s="11" t="s">
        <v>20</v>
      </c>
      <c r="O6" s="11" t="s">
        <v>21</v>
      </c>
      <c r="P6" s="13" t="str">
        <f aca="false">CHOOSE(WEEKDAY(P8,2),"L","M","X","J","V","S","D")</f>
        <v>L</v>
      </c>
      <c r="Q6" s="13" t="str">
        <f aca="false">CHOOSE(WEEKDAY(Q8,2),"L","M","X","J","V","S","D")</f>
        <v>M</v>
      </c>
      <c r="R6" s="13" t="str">
        <f aca="false">CHOOSE(WEEKDAY(R8,2),"L","M","X","J","V","S","D")</f>
        <v>X</v>
      </c>
      <c r="S6" s="13" t="str">
        <f aca="false">CHOOSE(WEEKDAY(S8,2),"L","M","X","J","V","S","D")</f>
        <v>J</v>
      </c>
      <c r="T6" s="13" t="str">
        <f aca="false">CHOOSE(WEEKDAY(T8,2),"L","M","X","J","V","S","D")</f>
        <v>V</v>
      </c>
      <c r="U6" s="13" t="str">
        <f aca="false">CHOOSE(WEEKDAY(U8,2),"L","M","X","J","V","S","D")</f>
        <v>S</v>
      </c>
      <c r="V6" s="13" t="str">
        <f aca="false">CHOOSE(WEEKDAY(V8,2),"L","M","X","J","V","S","D")</f>
        <v>D</v>
      </c>
      <c r="W6" s="13" t="str">
        <f aca="false">CHOOSE(WEEKDAY(W8,2),"L","M","X","J","V","S","D")</f>
        <v>L</v>
      </c>
      <c r="X6" s="13" t="str">
        <f aca="false">CHOOSE(WEEKDAY(X8,2),"L","M","X","J","V","S","D")</f>
        <v>M</v>
      </c>
      <c r="Y6" s="13" t="str">
        <f aca="false">CHOOSE(WEEKDAY(Y8,2),"L","M","X","J","V","S","D")</f>
        <v>X</v>
      </c>
      <c r="Z6" s="13" t="str">
        <f aca="false">CHOOSE(WEEKDAY(Z8,2),"L","M","X","J","V","S","D")</f>
        <v>J</v>
      </c>
      <c r="AA6" s="13" t="str">
        <f aca="false">CHOOSE(WEEKDAY(AA8,2),"L","M","X","J","V","S","D")</f>
        <v>V</v>
      </c>
      <c r="AB6" s="13" t="str">
        <f aca="false">CHOOSE(WEEKDAY(AB8,2),"L","M","X","J","V","S","D")</f>
        <v>S</v>
      </c>
      <c r="AC6" s="13" t="str">
        <f aca="false">CHOOSE(WEEKDAY(AC8,2),"L","M","X","J","V","S","D")</f>
        <v>D</v>
      </c>
      <c r="AD6" s="13" t="str">
        <f aca="false">CHOOSE(WEEKDAY(AD8,2),"L","M","X","J","V","S","D")</f>
        <v>L</v>
      </c>
      <c r="AE6" s="13" t="str">
        <f aca="false">CHOOSE(WEEKDAY(AE8,2),"L","M","X","J","V","S","D")</f>
        <v>M</v>
      </c>
    </row>
    <row r="7" customFormat="false" ht="15.75" hidden="false" customHeight="true" outlineLevel="0" collapsed="false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4" t="n">
        <v>1</v>
      </c>
      <c r="Q7" s="14" t="n">
        <v>2</v>
      </c>
      <c r="R7" s="14" t="n">
        <v>3</v>
      </c>
      <c r="S7" s="14" t="n">
        <v>4</v>
      </c>
      <c r="T7" s="14" t="n">
        <v>5</v>
      </c>
      <c r="U7" s="14" t="n">
        <v>6</v>
      </c>
      <c r="V7" s="14" t="n">
        <v>7</v>
      </c>
      <c r="W7" s="14" t="n">
        <v>8</v>
      </c>
      <c r="X7" s="14" t="n">
        <v>9</v>
      </c>
      <c r="Y7" s="14" t="n">
        <v>10</v>
      </c>
      <c r="Z7" s="14" t="n">
        <v>11</v>
      </c>
      <c r="AA7" s="14" t="n">
        <v>12</v>
      </c>
      <c r="AB7" s="14" t="n">
        <v>13</v>
      </c>
      <c r="AC7" s="14" t="n">
        <v>14</v>
      </c>
      <c r="AD7" s="14" t="n">
        <v>15</v>
      </c>
      <c r="AE7" s="14" t="n">
        <v>16</v>
      </c>
    </row>
    <row r="8" customFormat="false" ht="33.75" hidden="false" customHeight="true" outlineLevel="0" collapsed="false"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5" t="n">
        <f aca="false">$E$4+P7-1</f>
        <v>46307</v>
      </c>
      <c r="Q8" s="15" t="n">
        <f aca="false">$E$4+Q7-1</f>
        <v>46308</v>
      </c>
      <c r="R8" s="15" t="n">
        <f aca="false">$E$4+R7-1</f>
        <v>46309</v>
      </c>
      <c r="S8" s="15" t="n">
        <f aca="false">$E$4+S7-1</f>
        <v>46310</v>
      </c>
      <c r="T8" s="15" t="n">
        <f aca="false">$E$4+T7-1</f>
        <v>46311</v>
      </c>
      <c r="U8" s="15" t="n">
        <f aca="false">$E$4+U7-1</f>
        <v>46312</v>
      </c>
      <c r="V8" s="15" t="n">
        <f aca="false">$E$4+V7-1</f>
        <v>46313</v>
      </c>
      <c r="W8" s="15" t="n">
        <f aca="false">$E$4+W7-1</f>
        <v>46314</v>
      </c>
      <c r="X8" s="15" t="n">
        <f aca="false">$E$4+X7-1</f>
        <v>46315</v>
      </c>
      <c r="Y8" s="15" t="n">
        <f aca="false">$E$4+Y7-1</f>
        <v>46316</v>
      </c>
      <c r="Z8" s="15" t="n">
        <f aca="false">$E$4+Z7-1</f>
        <v>46317</v>
      </c>
      <c r="AA8" s="15" t="n">
        <f aca="false">$E$4+AA7-1</f>
        <v>46318</v>
      </c>
      <c r="AB8" s="15" t="n">
        <f aca="false">$E$4+AB7-1</f>
        <v>46319</v>
      </c>
      <c r="AC8" s="15" t="n">
        <f aca="false">$E$4+AC7-1</f>
        <v>46320</v>
      </c>
      <c r="AD8" s="15" t="n">
        <f aca="false">$E$4+AD7-1</f>
        <v>46321</v>
      </c>
      <c r="AE8" s="15" t="n">
        <f aca="false">$E$4+AE7-1</f>
        <v>46322</v>
      </c>
    </row>
    <row r="9" customFormat="false" ht="25.5" hidden="false" customHeight="true" outlineLevel="0" collapsed="false">
      <c r="B9" s="16" t="s">
        <v>22</v>
      </c>
      <c r="C9" s="17" t="s">
        <v>23</v>
      </c>
      <c r="D9" s="18" t="s">
        <v>24</v>
      </c>
      <c r="E9" s="19" t="s">
        <v>25</v>
      </c>
      <c r="F9" s="20" t="s">
        <v>26</v>
      </c>
      <c r="G9" s="21" t="n">
        <v>1</v>
      </c>
      <c r="H9" s="21" t="n">
        <v>1</v>
      </c>
      <c r="I9" s="22" t="n">
        <f aca="false">$E$4+G9-1</f>
        <v>46307</v>
      </c>
      <c r="J9" s="22" t="n">
        <f aca="false">I9+H9-1</f>
        <v>46307</v>
      </c>
      <c r="K9" s="23" t="n">
        <v>2</v>
      </c>
      <c r="L9" s="23"/>
      <c r="M9" s="24" t="str">
        <f aca="false">IF(L9="","",L9-K9)</f>
        <v/>
      </c>
      <c r="N9" s="25" t="n">
        <v>0</v>
      </c>
      <c r="O9" s="26" t="str">
        <f aca="true">IF(N9&gt;=1,"Completado",IF(J9&lt;TODAY(),"Atrasado",IF(N9&gt;0,"En curso","Pendiente")))</f>
        <v>Atrasado</v>
      </c>
      <c r="P9" s="27" t="str">
        <f aca="false">IF(AND($B9&lt;&gt;"",$C9="Hito",P$7=$G9),"◆","")</f>
        <v/>
      </c>
      <c r="Q9" s="27" t="str">
        <f aca="false">IF(AND($B9&lt;&gt;"",$C9="Hito",Q$7=$G9),"◆","")</f>
        <v/>
      </c>
      <c r="R9" s="27" t="str">
        <f aca="false">IF(AND($B9&lt;&gt;"",$C9="Hito",R$7=$G9),"◆","")</f>
        <v/>
      </c>
      <c r="S9" s="27" t="str">
        <f aca="false">IF(AND($B9&lt;&gt;"",$C9="Hito",S$7=$G9),"◆","")</f>
        <v/>
      </c>
      <c r="T9" s="27" t="str">
        <f aca="false">IF(AND($B9&lt;&gt;"",$C9="Hito",T$7=$G9),"◆","")</f>
        <v/>
      </c>
      <c r="U9" s="27" t="str">
        <f aca="false">IF(AND($B9&lt;&gt;"",$C9="Hito",U$7=$G9),"◆","")</f>
        <v/>
      </c>
      <c r="V9" s="27" t="str">
        <f aca="false">IF(AND($B9&lt;&gt;"",$C9="Hito",V$7=$G9),"◆","")</f>
        <v/>
      </c>
      <c r="W9" s="27" t="str">
        <f aca="false">IF(AND($B9&lt;&gt;"",$C9="Hito",W$7=$G9),"◆","")</f>
        <v/>
      </c>
      <c r="X9" s="27" t="str">
        <f aca="false">IF(AND($B9&lt;&gt;"",$C9="Hito",X$7=$G9),"◆","")</f>
        <v/>
      </c>
      <c r="Y9" s="27" t="str">
        <f aca="false">IF(AND($B9&lt;&gt;"",$C9="Hito",Y$7=$G9),"◆","")</f>
        <v/>
      </c>
      <c r="Z9" s="27" t="str">
        <f aca="false">IF(AND($B9&lt;&gt;"",$C9="Hito",Z$7=$G9),"◆","")</f>
        <v/>
      </c>
      <c r="AA9" s="27" t="str">
        <f aca="false">IF(AND($B9&lt;&gt;"",$C9="Hito",AA$7=$G9),"◆","")</f>
        <v/>
      </c>
      <c r="AB9" s="27" t="str">
        <f aca="false">IF(AND($B9&lt;&gt;"",$C9="Hito",AB$7=$G9),"◆","")</f>
        <v/>
      </c>
      <c r="AC9" s="27" t="str">
        <f aca="false">IF(AND($B9&lt;&gt;"",$C9="Hito",AC$7=$G9),"◆","")</f>
        <v/>
      </c>
      <c r="AD9" s="27" t="str">
        <f aca="false">IF(AND($B9&lt;&gt;"",$C9="Hito",AD$7=$G9),"◆","")</f>
        <v/>
      </c>
      <c r="AE9" s="27" t="str">
        <f aca="false">IF(AND($B9&lt;&gt;"",$C9="Hito",AE$7=$G9),"◆","")</f>
        <v/>
      </c>
    </row>
    <row r="10" customFormat="false" ht="25.5" hidden="false" customHeight="true" outlineLevel="0" collapsed="false">
      <c r="B10" s="16" t="s">
        <v>27</v>
      </c>
      <c r="C10" s="28" t="s">
        <v>28</v>
      </c>
      <c r="D10" s="18" t="s">
        <v>29</v>
      </c>
      <c r="E10" s="19" t="s">
        <v>25</v>
      </c>
      <c r="F10" s="20" t="s">
        <v>26</v>
      </c>
      <c r="G10" s="21" t="n">
        <v>1</v>
      </c>
      <c r="H10" s="21" t="n">
        <v>1</v>
      </c>
      <c r="I10" s="22" t="n">
        <f aca="false">$E$4+G10-1</f>
        <v>46307</v>
      </c>
      <c r="J10" s="22" t="n">
        <f aca="false">I10+H10-1</f>
        <v>46307</v>
      </c>
      <c r="K10" s="23" t="n">
        <v>1.5</v>
      </c>
      <c r="L10" s="23"/>
      <c r="M10" s="24" t="str">
        <f aca="false">IF(L10="","",L10-K10)</f>
        <v/>
      </c>
      <c r="N10" s="25" t="n">
        <v>0</v>
      </c>
      <c r="O10" s="26" t="str">
        <f aca="true">IF(N10&gt;=1,"Completado",IF(J10&lt;TODAY(),"Atrasado",IF(N10&gt;0,"En curso","Pendiente")))</f>
        <v>Atrasado</v>
      </c>
      <c r="P10" s="27" t="str">
        <f aca="false">IF(AND($B10&lt;&gt;"",$C10="Hito",P$7=$G10),"◆","")</f>
        <v/>
      </c>
      <c r="Q10" s="27" t="str">
        <f aca="false">IF(AND($B10&lt;&gt;"",$C10="Hito",Q$7=$G10),"◆","")</f>
        <v/>
      </c>
      <c r="R10" s="27" t="str">
        <f aca="false">IF(AND($B10&lt;&gt;"",$C10="Hito",R$7=$G10),"◆","")</f>
        <v/>
      </c>
      <c r="S10" s="27" t="str">
        <f aca="false">IF(AND($B10&lt;&gt;"",$C10="Hito",S$7=$G10),"◆","")</f>
        <v/>
      </c>
      <c r="T10" s="27" t="str">
        <f aca="false">IF(AND($B10&lt;&gt;"",$C10="Hito",T$7=$G10),"◆","")</f>
        <v/>
      </c>
      <c r="U10" s="27" t="str">
        <f aca="false">IF(AND($B10&lt;&gt;"",$C10="Hito",U$7=$G10),"◆","")</f>
        <v/>
      </c>
      <c r="V10" s="27" t="str">
        <f aca="false">IF(AND($B10&lt;&gt;"",$C10="Hito",V$7=$G10),"◆","")</f>
        <v/>
      </c>
      <c r="W10" s="27" t="str">
        <f aca="false">IF(AND($B10&lt;&gt;"",$C10="Hito",W$7=$G10),"◆","")</f>
        <v/>
      </c>
      <c r="X10" s="27" t="str">
        <f aca="false">IF(AND($B10&lt;&gt;"",$C10="Hito",X$7=$G10),"◆","")</f>
        <v/>
      </c>
      <c r="Y10" s="27" t="str">
        <f aca="false">IF(AND($B10&lt;&gt;"",$C10="Hito",Y$7=$G10),"◆","")</f>
        <v/>
      </c>
      <c r="Z10" s="27" t="str">
        <f aca="false">IF(AND($B10&lt;&gt;"",$C10="Hito",Z$7=$G10),"◆","")</f>
        <v/>
      </c>
      <c r="AA10" s="27" t="str">
        <f aca="false">IF(AND($B10&lt;&gt;"",$C10="Hito",AA$7=$G10),"◆","")</f>
        <v/>
      </c>
      <c r="AB10" s="27" t="str">
        <f aca="false">IF(AND($B10&lt;&gt;"",$C10="Hito",AB$7=$G10),"◆","")</f>
        <v/>
      </c>
      <c r="AC10" s="27" t="str">
        <f aca="false">IF(AND($B10&lt;&gt;"",$C10="Hito",AC$7=$G10),"◆","")</f>
        <v/>
      </c>
      <c r="AD10" s="27" t="str">
        <f aca="false">IF(AND($B10&lt;&gt;"",$C10="Hito",AD$7=$G10),"◆","")</f>
        <v/>
      </c>
      <c r="AE10" s="27" t="str">
        <f aca="false">IF(AND($B10&lt;&gt;"",$C10="Hito",AE$7=$G10),"◆","")</f>
        <v/>
      </c>
    </row>
    <row r="11" customFormat="false" ht="25.5" hidden="false" customHeight="true" outlineLevel="0" collapsed="false">
      <c r="B11" s="16" t="s">
        <v>30</v>
      </c>
      <c r="C11" s="28" t="s">
        <v>28</v>
      </c>
      <c r="D11" s="18" t="s">
        <v>31</v>
      </c>
      <c r="E11" s="19" t="s">
        <v>25</v>
      </c>
      <c r="F11" s="20" t="s">
        <v>22</v>
      </c>
      <c r="G11" s="21" t="n">
        <v>2</v>
      </c>
      <c r="H11" s="21" t="n">
        <v>2</v>
      </c>
      <c r="I11" s="22" t="n">
        <f aca="false">$E$4+G11-1</f>
        <v>46308</v>
      </c>
      <c r="J11" s="22" t="n">
        <f aca="false">I11+H11-1</f>
        <v>46309</v>
      </c>
      <c r="K11" s="23" t="n">
        <v>6</v>
      </c>
      <c r="L11" s="23"/>
      <c r="M11" s="24" t="str">
        <f aca="false">IF(L11="","",L11-K11)</f>
        <v/>
      </c>
      <c r="N11" s="25" t="n">
        <v>0</v>
      </c>
      <c r="O11" s="26" t="str">
        <f aca="true">IF(N11&gt;=1,"Completado",IF(J11&lt;TODAY(),"Atrasado",IF(N11&gt;0,"En curso","Pendiente")))</f>
        <v>Pendiente</v>
      </c>
      <c r="P11" s="27" t="str">
        <f aca="false">IF(AND($B11&lt;&gt;"",$C11="Hito",P$7=$G11),"◆","")</f>
        <v/>
      </c>
      <c r="Q11" s="27" t="str">
        <f aca="false">IF(AND($B11&lt;&gt;"",$C11="Hito",Q$7=$G11),"◆","")</f>
        <v/>
      </c>
      <c r="R11" s="27" t="str">
        <f aca="false">IF(AND($B11&lt;&gt;"",$C11="Hito",R$7=$G11),"◆","")</f>
        <v/>
      </c>
      <c r="S11" s="27" t="str">
        <f aca="false">IF(AND($B11&lt;&gt;"",$C11="Hito",S$7=$G11),"◆","")</f>
        <v/>
      </c>
      <c r="T11" s="27" t="str">
        <f aca="false">IF(AND($B11&lt;&gt;"",$C11="Hito",T$7=$G11),"◆","")</f>
        <v/>
      </c>
      <c r="U11" s="27" t="str">
        <f aca="false">IF(AND($B11&lt;&gt;"",$C11="Hito",U$7=$G11),"◆","")</f>
        <v/>
      </c>
      <c r="V11" s="27" t="str">
        <f aca="false">IF(AND($B11&lt;&gt;"",$C11="Hito",V$7=$G11),"◆","")</f>
        <v/>
      </c>
      <c r="W11" s="27" t="str">
        <f aca="false">IF(AND($B11&lt;&gt;"",$C11="Hito",W$7=$G11),"◆","")</f>
        <v/>
      </c>
      <c r="X11" s="27" t="str">
        <f aca="false">IF(AND($B11&lt;&gt;"",$C11="Hito",X$7=$G11),"◆","")</f>
        <v/>
      </c>
      <c r="Y11" s="27" t="str">
        <f aca="false">IF(AND($B11&lt;&gt;"",$C11="Hito",Y$7=$G11),"◆","")</f>
        <v/>
      </c>
      <c r="Z11" s="27" t="str">
        <f aca="false">IF(AND($B11&lt;&gt;"",$C11="Hito",Z$7=$G11),"◆","")</f>
        <v/>
      </c>
      <c r="AA11" s="27" t="str">
        <f aca="false">IF(AND($B11&lt;&gt;"",$C11="Hito",AA$7=$G11),"◆","")</f>
        <v/>
      </c>
      <c r="AB11" s="27" t="str">
        <f aca="false">IF(AND($B11&lt;&gt;"",$C11="Hito",AB$7=$G11),"◆","")</f>
        <v/>
      </c>
      <c r="AC11" s="27" t="str">
        <f aca="false">IF(AND($B11&lt;&gt;"",$C11="Hito",AC$7=$G11),"◆","")</f>
        <v/>
      </c>
      <c r="AD11" s="27" t="str">
        <f aca="false">IF(AND($B11&lt;&gt;"",$C11="Hito",AD$7=$G11),"◆","")</f>
        <v/>
      </c>
      <c r="AE11" s="27" t="str">
        <f aca="false">IF(AND($B11&lt;&gt;"",$C11="Hito",AE$7=$G11),"◆","")</f>
        <v/>
      </c>
    </row>
    <row r="12" customFormat="false" ht="25.5" hidden="false" customHeight="true" outlineLevel="0" collapsed="false">
      <c r="B12" s="16" t="s">
        <v>32</v>
      </c>
      <c r="C12" s="28" t="s">
        <v>28</v>
      </c>
      <c r="D12" s="18" t="s">
        <v>33</v>
      </c>
      <c r="E12" s="19" t="s">
        <v>25</v>
      </c>
      <c r="F12" s="20" t="s">
        <v>30</v>
      </c>
      <c r="G12" s="21" t="n">
        <v>4</v>
      </c>
      <c r="H12" s="21" t="n">
        <v>1</v>
      </c>
      <c r="I12" s="22" t="n">
        <f aca="false">$E$4+G12-1</f>
        <v>46310</v>
      </c>
      <c r="J12" s="22" t="n">
        <f aca="false">I12+H12-1</f>
        <v>46310</v>
      </c>
      <c r="K12" s="23" t="n">
        <v>1.5</v>
      </c>
      <c r="L12" s="23"/>
      <c r="M12" s="24" t="str">
        <f aca="false">IF(L12="","",L12-K12)</f>
        <v/>
      </c>
      <c r="N12" s="25" t="n">
        <v>0</v>
      </c>
      <c r="O12" s="26" t="str">
        <f aca="true">IF(N12&gt;=1,"Completado",IF(J12&lt;TODAY(),"Atrasado",IF(N12&gt;0,"En curso","Pendiente")))</f>
        <v>Pendiente</v>
      </c>
      <c r="P12" s="27" t="str">
        <f aca="false">IF(AND($B12&lt;&gt;"",$C12="Hito",P$7=$G12),"◆","")</f>
        <v/>
      </c>
      <c r="Q12" s="27" t="str">
        <f aca="false">IF(AND($B12&lt;&gt;"",$C12="Hito",Q$7=$G12),"◆","")</f>
        <v/>
      </c>
      <c r="R12" s="27" t="str">
        <f aca="false">IF(AND($B12&lt;&gt;"",$C12="Hito",R$7=$G12),"◆","")</f>
        <v/>
      </c>
      <c r="S12" s="27" t="str">
        <f aca="false">IF(AND($B12&lt;&gt;"",$C12="Hito",S$7=$G12),"◆","")</f>
        <v/>
      </c>
      <c r="T12" s="27" t="str">
        <f aca="false">IF(AND($B12&lt;&gt;"",$C12="Hito",T$7=$G12),"◆","")</f>
        <v/>
      </c>
      <c r="U12" s="27" t="str">
        <f aca="false">IF(AND($B12&lt;&gt;"",$C12="Hito",U$7=$G12),"◆","")</f>
        <v/>
      </c>
      <c r="V12" s="27" t="str">
        <f aca="false">IF(AND($B12&lt;&gt;"",$C12="Hito",V$7=$G12),"◆","")</f>
        <v/>
      </c>
      <c r="W12" s="27" t="str">
        <f aca="false">IF(AND($B12&lt;&gt;"",$C12="Hito",W$7=$G12),"◆","")</f>
        <v/>
      </c>
      <c r="X12" s="27" t="str">
        <f aca="false">IF(AND($B12&lt;&gt;"",$C12="Hito",X$7=$G12),"◆","")</f>
        <v/>
      </c>
      <c r="Y12" s="27" t="str">
        <f aca="false">IF(AND($B12&lt;&gt;"",$C12="Hito",Y$7=$G12),"◆","")</f>
        <v/>
      </c>
      <c r="Z12" s="27" t="str">
        <f aca="false">IF(AND($B12&lt;&gt;"",$C12="Hito",Z$7=$G12),"◆","")</f>
        <v/>
      </c>
      <c r="AA12" s="27" t="str">
        <f aca="false">IF(AND($B12&lt;&gt;"",$C12="Hito",AA$7=$G12),"◆","")</f>
        <v/>
      </c>
      <c r="AB12" s="27" t="str">
        <f aca="false">IF(AND($B12&lt;&gt;"",$C12="Hito",AB$7=$G12),"◆","")</f>
        <v/>
      </c>
      <c r="AC12" s="27" t="str">
        <f aca="false">IF(AND($B12&lt;&gt;"",$C12="Hito",AC$7=$G12),"◆","")</f>
        <v/>
      </c>
      <c r="AD12" s="27" t="str">
        <f aca="false">IF(AND($B12&lt;&gt;"",$C12="Hito",AD$7=$G12),"◆","")</f>
        <v/>
      </c>
      <c r="AE12" s="27" t="str">
        <f aca="false">IF(AND($B12&lt;&gt;"",$C12="Hito",AE$7=$G12),"◆","")</f>
        <v/>
      </c>
    </row>
    <row r="13" customFormat="false" ht="25.5" hidden="false" customHeight="true" outlineLevel="0" collapsed="false">
      <c r="B13" s="16" t="s">
        <v>34</v>
      </c>
      <c r="C13" s="29" t="s">
        <v>35</v>
      </c>
      <c r="D13" s="18" t="s">
        <v>36</v>
      </c>
      <c r="E13" s="19" t="s">
        <v>25</v>
      </c>
      <c r="F13" s="20" t="s">
        <v>30</v>
      </c>
      <c r="G13" s="21" t="n">
        <v>4</v>
      </c>
      <c r="H13" s="21" t="n">
        <v>2</v>
      </c>
      <c r="I13" s="22" t="n">
        <f aca="false">$E$4+G13-1</f>
        <v>46310</v>
      </c>
      <c r="J13" s="22" t="n">
        <f aca="false">I13+H13-1</f>
        <v>46311</v>
      </c>
      <c r="K13" s="23" t="n">
        <v>3</v>
      </c>
      <c r="L13" s="23"/>
      <c r="M13" s="24" t="str">
        <f aca="false">IF(L13="","",L13-K13)</f>
        <v/>
      </c>
      <c r="N13" s="25" t="n">
        <v>0</v>
      </c>
      <c r="O13" s="26" t="str">
        <f aca="true">IF(N13&gt;=1,"Completado",IF(J13&lt;TODAY(),"Atrasado",IF(N13&gt;0,"En curso","Pendiente")))</f>
        <v>Pendiente</v>
      </c>
      <c r="P13" s="27" t="str">
        <f aca="false">IF(AND($B13&lt;&gt;"",$C13="Hito",P$7=$G13),"◆","")</f>
        <v/>
      </c>
      <c r="Q13" s="27" t="str">
        <f aca="false">IF(AND($B13&lt;&gt;"",$C13="Hito",Q$7=$G13),"◆","")</f>
        <v/>
      </c>
      <c r="R13" s="27" t="str">
        <f aca="false">IF(AND($B13&lt;&gt;"",$C13="Hito",R$7=$G13),"◆","")</f>
        <v/>
      </c>
      <c r="S13" s="27" t="str">
        <f aca="false">IF(AND($B13&lt;&gt;"",$C13="Hito",S$7=$G13),"◆","")</f>
        <v/>
      </c>
      <c r="T13" s="27" t="str">
        <f aca="false">IF(AND($B13&lt;&gt;"",$C13="Hito",T$7=$G13),"◆","")</f>
        <v/>
      </c>
      <c r="U13" s="27" t="str">
        <f aca="false">IF(AND($B13&lt;&gt;"",$C13="Hito",U$7=$G13),"◆","")</f>
        <v/>
      </c>
      <c r="V13" s="27" t="str">
        <f aca="false">IF(AND($B13&lt;&gt;"",$C13="Hito",V$7=$G13),"◆","")</f>
        <v/>
      </c>
      <c r="W13" s="27" t="str">
        <f aca="false">IF(AND($B13&lt;&gt;"",$C13="Hito",W$7=$G13),"◆","")</f>
        <v/>
      </c>
      <c r="X13" s="27" t="str">
        <f aca="false">IF(AND($B13&lt;&gt;"",$C13="Hito",X$7=$G13),"◆","")</f>
        <v/>
      </c>
      <c r="Y13" s="27" t="str">
        <f aca="false">IF(AND($B13&lt;&gt;"",$C13="Hito",Y$7=$G13),"◆","")</f>
        <v/>
      </c>
      <c r="Z13" s="27" t="str">
        <f aca="false">IF(AND($B13&lt;&gt;"",$C13="Hito",Z$7=$G13),"◆","")</f>
        <v/>
      </c>
      <c r="AA13" s="27" t="str">
        <f aca="false">IF(AND($B13&lt;&gt;"",$C13="Hito",AA$7=$G13),"◆","")</f>
        <v/>
      </c>
      <c r="AB13" s="27" t="str">
        <f aca="false">IF(AND($B13&lt;&gt;"",$C13="Hito",AB$7=$G13),"◆","")</f>
        <v/>
      </c>
      <c r="AC13" s="27" t="str">
        <f aca="false">IF(AND($B13&lt;&gt;"",$C13="Hito",AC$7=$G13),"◆","")</f>
        <v/>
      </c>
      <c r="AD13" s="27" t="str">
        <f aca="false">IF(AND($B13&lt;&gt;"",$C13="Hito",AD$7=$G13),"◆","")</f>
        <v/>
      </c>
      <c r="AE13" s="27" t="str">
        <f aca="false">IF(AND($B13&lt;&gt;"",$C13="Hito",AE$7=$G13),"◆","")</f>
        <v/>
      </c>
    </row>
    <row r="14" customFormat="false" ht="25.5" hidden="false" customHeight="true" outlineLevel="0" collapsed="false">
      <c r="B14" s="16" t="s">
        <v>37</v>
      </c>
      <c r="C14" s="30" t="s">
        <v>38</v>
      </c>
      <c r="D14" s="31" t="s">
        <v>39</v>
      </c>
      <c r="E14" s="19" t="s">
        <v>40</v>
      </c>
      <c r="F14" s="20" t="s">
        <v>41</v>
      </c>
      <c r="G14" s="21" t="n">
        <v>5</v>
      </c>
      <c r="H14" s="21" t="n">
        <v>1</v>
      </c>
      <c r="I14" s="22" t="n">
        <f aca="false">$E$4+G14-1</f>
        <v>46311</v>
      </c>
      <c r="J14" s="22" t="n">
        <f aca="false">I14+H14-1</f>
        <v>46311</v>
      </c>
      <c r="K14" s="23" t="n">
        <v>0</v>
      </c>
      <c r="L14" s="23"/>
      <c r="M14" s="24" t="str">
        <f aca="false">IF(L14="","",L14-K14)</f>
        <v/>
      </c>
      <c r="N14" s="25" t="n">
        <v>0</v>
      </c>
      <c r="O14" s="26" t="str">
        <f aca="true">IF(N14&gt;=1,"Completado",IF(J14&lt;TODAY(),"Atrasado",IF(N14&gt;0,"En curso","Pendiente")))</f>
        <v>Pendiente</v>
      </c>
      <c r="P14" s="27" t="str">
        <f aca="false">IF(AND($B14&lt;&gt;"",$C14="Hito",P$7=$G14),"◆","")</f>
        <v/>
      </c>
      <c r="Q14" s="27" t="str">
        <f aca="false">IF(AND($B14&lt;&gt;"",$C14="Hito",Q$7=$G14),"◆","")</f>
        <v/>
      </c>
      <c r="R14" s="27" t="str">
        <f aca="false">IF(AND($B14&lt;&gt;"",$C14="Hito",R$7=$G14),"◆","")</f>
        <v/>
      </c>
      <c r="S14" s="27" t="str">
        <f aca="false">IF(AND($B14&lt;&gt;"",$C14="Hito",S$7=$G14),"◆","")</f>
        <v/>
      </c>
      <c r="T14" s="27" t="str">
        <f aca="false">IF(AND($B14&lt;&gt;"",$C14="Hito",T$7=$G14),"◆","")</f>
        <v>◆</v>
      </c>
      <c r="U14" s="27" t="str">
        <f aca="false">IF(AND($B14&lt;&gt;"",$C14="Hito",U$7=$G14),"◆","")</f>
        <v/>
      </c>
      <c r="V14" s="27" t="str">
        <f aca="false">IF(AND($B14&lt;&gt;"",$C14="Hito",V$7=$G14),"◆","")</f>
        <v/>
      </c>
      <c r="W14" s="27" t="str">
        <f aca="false">IF(AND($B14&lt;&gt;"",$C14="Hito",W$7=$G14),"◆","")</f>
        <v/>
      </c>
      <c r="X14" s="27" t="str">
        <f aca="false">IF(AND($B14&lt;&gt;"",$C14="Hito",X$7=$G14),"◆","")</f>
        <v/>
      </c>
      <c r="Y14" s="27" t="str">
        <f aca="false">IF(AND($B14&lt;&gt;"",$C14="Hito",Y$7=$G14),"◆","")</f>
        <v/>
      </c>
      <c r="Z14" s="27" t="str">
        <f aca="false">IF(AND($B14&lt;&gt;"",$C14="Hito",Z$7=$G14),"◆","")</f>
        <v/>
      </c>
      <c r="AA14" s="27" t="str">
        <f aca="false">IF(AND($B14&lt;&gt;"",$C14="Hito",AA$7=$G14),"◆","")</f>
        <v/>
      </c>
      <c r="AB14" s="27" t="str">
        <f aca="false">IF(AND($B14&lt;&gt;"",$C14="Hito",AB$7=$G14),"◆","")</f>
        <v/>
      </c>
      <c r="AC14" s="27" t="str">
        <f aca="false">IF(AND($B14&lt;&gt;"",$C14="Hito",AC$7=$G14),"◆","")</f>
        <v/>
      </c>
      <c r="AD14" s="27" t="str">
        <f aca="false">IF(AND($B14&lt;&gt;"",$C14="Hito",AD$7=$G14),"◆","")</f>
        <v/>
      </c>
      <c r="AE14" s="27" t="str">
        <f aca="false">IF(AND($B14&lt;&gt;"",$C14="Hito",AE$7=$G14),"◆","")</f>
        <v/>
      </c>
    </row>
    <row r="15" customFormat="false" ht="25.5" hidden="false" customHeight="true" outlineLevel="0" collapsed="false">
      <c r="B15" s="16" t="s">
        <v>42</v>
      </c>
      <c r="C15" s="32" t="s">
        <v>43</v>
      </c>
      <c r="D15" s="18" t="s">
        <v>44</v>
      </c>
      <c r="E15" s="19" t="s">
        <v>45</v>
      </c>
      <c r="F15" s="20" t="s">
        <v>34</v>
      </c>
      <c r="G15" s="21" t="n">
        <v>6</v>
      </c>
      <c r="H15" s="21" t="n">
        <v>2</v>
      </c>
      <c r="I15" s="22" t="n">
        <f aca="false">$E$4+G15-1</f>
        <v>46312</v>
      </c>
      <c r="J15" s="22" t="n">
        <f aca="false">I15+H15-1</f>
        <v>46313</v>
      </c>
      <c r="K15" s="23" t="n">
        <v>6</v>
      </c>
      <c r="L15" s="23"/>
      <c r="M15" s="24" t="str">
        <f aca="false">IF(L15="","",L15-K15)</f>
        <v/>
      </c>
      <c r="N15" s="25" t="n">
        <v>0</v>
      </c>
      <c r="O15" s="26" t="str">
        <f aca="true">IF(N15&gt;=1,"Completado",IF(J15&lt;TODAY(),"Atrasado",IF(N15&gt;0,"En curso","Pendiente")))</f>
        <v>Pendiente</v>
      </c>
      <c r="P15" s="27" t="str">
        <f aca="false">IF(AND($B15&lt;&gt;"",$C15="Hito",P$7=$G15),"◆","")</f>
        <v/>
      </c>
      <c r="Q15" s="27" t="str">
        <f aca="false">IF(AND($B15&lt;&gt;"",$C15="Hito",Q$7=$G15),"◆","")</f>
        <v/>
      </c>
      <c r="R15" s="27" t="str">
        <f aca="false">IF(AND($B15&lt;&gt;"",$C15="Hito",R$7=$G15),"◆","")</f>
        <v/>
      </c>
      <c r="S15" s="27" t="str">
        <f aca="false">IF(AND($B15&lt;&gt;"",$C15="Hito",S$7=$G15),"◆","")</f>
        <v/>
      </c>
      <c r="T15" s="27" t="str">
        <f aca="false">IF(AND($B15&lt;&gt;"",$C15="Hito",T$7=$G15),"◆","")</f>
        <v/>
      </c>
      <c r="U15" s="27" t="str">
        <f aca="false">IF(AND($B15&lt;&gt;"",$C15="Hito",U$7=$G15),"◆","")</f>
        <v/>
      </c>
      <c r="V15" s="27" t="str">
        <f aca="false">IF(AND($B15&lt;&gt;"",$C15="Hito",V$7=$G15),"◆","")</f>
        <v/>
      </c>
      <c r="W15" s="27" t="str">
        <f aca="false">IF(AND($B15&lt;&gt;"",$C15="Hito",W$7=$G15),"◆","")</f>
        <v/>
      </c>
      <c r="X15" s="27" t="str">
        <f aca="false">IF(AND($B15&lt;&gt;"",$C15="Hito",X$7=$G15),"◆","")</f>
        <v/>
      </c>
      <c r="Y15" s="27" t="str">
        <f aca="false">IF(AND($B15&lt;&gt;"",$C15="Hito",Y$7=$G15),"◆","")</f>
        <v/>
      </c>
      <c r="Z15" s="27" t="str">
        <f aca="false">IF(AND($B15&lt;&gt;"",$C15="Hito",Z$7=$G15),"◆","")</f>
        <v/>
      </c>
      <c r="AA15" s="27" t="str">
        <f aca="false">IF(AND($B15&lt;&gt;"",$C15="Hito",AA$7=$G15),"◆","")</f>
        <v/>
      </c>
      <c r="AB15" s="27" t="str">
        <f aca="false">IF(AND($B15&lt;&gt;"",$C15="Hito",AB$7=$G15),"◆","")</f>
        <v/>
      </c>
      <c r="AC15" s="27" t="str">
        <f aca="false">IF(AND($B15&lt;&gt;"",$C15="Hito",AC$7=$G15),"◆","")</f>
        <v/>
      </c>
      <c r="AD15" s="27" t="str">
        <f aca="false">IF(AND($B15&lt;&gt;"",$C15="Hito",AD$7=$G15),"◆","")</f>
        <v/>
      </c>
      <c r="AE15" s="27" t="str">
        <f aca="false">IF(AND($B15&lt;&gt;"",$C15="Hito",AE$7=$G15),"◆","")</f>
        <v/>
      </c>
    </row>
    <row r="16" customFormat="false" ht="25.5" hidden="false" customHeight="true" outlineLevel="0" collapsed="false">
      <c r="B16" s="16" t="s">
        <v>46</v>
      </c>
      <c r="C16" s="32" t="s">
        <v>43</v>
      </c>
      <c r="D16" s="18" t="s">
        <v>47</v>
      </c>
      <c r="E16" s="19" t="s">
        <v>45</v>
      </c>
      <c r="F16" s="20" t="s">
        <v>42</v>
      </c>
      <c r="G16" s="21" t="n">
        <v>8</v>
      </c>
      <c r="H16" s="21" t="n">
        <v>2</v>
      </c>
      <c r="I16" s="22" t="n">
        <f aca="false">$E$4+G16-1</f>
        <v>46314</v>
      </c>
      <c r="J16" s="22" t="n">
        <f aca="false">I16+H16-1</f>
        <v>46315</v>
      </c>
      <c r="K16" s="23" t="n">
        <v>5</v>
      </c>
      <c r="L16" s="23"/>
      <c r="M16" s="24" t="str">
        <f aca="false">IF(L16="","",L16-K16)</f>
        <v/>
      </c>
      <c r="N16" s="25" t="n">
        <v>0</v>
      </c>
      <c r="O16" s="26" t="str">
        <f aca="true">IF(N16&gt;=1,"Completado",IF(J16&lt;TODAY(),"Atrasado",IF(N16&gt;0,"En curso","Pendiente")))</f>
        <v>Pendiente</v>
      </c>
      <c r="P16" s="27" t="str">
        <f aca="false">IF(AND($B16&lt;&gt;"",$C16="Hito",P$7=$G16),"◆","")</f>
        <v/>
      </c>
      <c r="Q16" s="27" t="str">
        <f aca="false">IF(AND($B16&lt;&gt;"",$C16="Hito",Q$7=$G16),"◆","")</f>
        <v/>
      </c>
      <c r="R16" s="27" t="str">
        <f aca="false">IF(AND($B16&lt;&gt;"",$C16="Hito",R$7=$G16),"◆","")</f>
        <v/>
      </c>
      <c r="S16" s="27" t="str">
        <f aca="false">IF(AND($B16&lt;&gt;"",$C16="Hito",S$7=$G16),"◆","")</f>
        <v/>
      </c>
      <c r="T16" s="27" t="str">
        <f aca="false">IF(AND($B16&lt;&gt;"",$C16="Hito",T$7=$G16),"◆","")</f>
        <v/>
      </c>
      <c r="U16" s="27" t="str">
        <f aca="false">IF(AND($B16&lt;&gt;"",$C16="Hito",U$7=$G16),"◆","")</f>
        <v/>
      </c>
      <c r="V16" s="27" t="str">
        <f aca="false">IF(AND($B16&lt;&gt;"",$C16="Hito",V$7=$G16),"◆","")</f>
        <v/>
      </c>
      <c r="W16" s="27" t="str">
        <f aca="false">IF(AND($B16&lt;&gt;"",$C16="Hito",W$7=$G16),"◆","")</f>
        <v/>
      </c>
      <c r="X16" s="27" t="str">
        <f aca="false">IF(AND($B16&lt;&gt;"",$C16="Hito",X$7=$G16),"◆","")</f>
        <v/>
      </c>
      <c r="Y16" s="27" t="str">
        <f aca="false">IF(AND($B16&lt;&gt;"",$C16="Hito",Y$7=$G16),"◆","")</f>
        <v/>
      </c>
      <c r="Z16" s="27" t="str">
        <f aca="false">IF(AND($B16&lt;&gt;"",$C16="Hito",Z$7=$G16),"◆","")</f>
        <v/>
      </c>
      <c r="AA16" s="27" t="str">
        <f aca="false">IF(AND($B16&lt;&gt;"",$C16="Hito",AA$7=$G16),"◆","")</f>
        <v/>
      </c>
      <c r="AB16" s="27" t="str">
        <f aca="false">IF(AND($B16&lt;&gt;"",$C16="Hito",AB$7=$G16),"◆","")</f>
        <v/>
      </c>
      <c r="AC16" s="27" t="str">
        <f aca="false">IF(AND($B16&lt;&gt;"",$C16="Hito",AC$7=$G16),"◆","")</f>
        <v/>
      </c>
      <c r="AD16" s="27" t="str">
        <f aca="false">IF(AND($B16&lt;&gt;"",$C16="Hito",AD$7=$G16),"◆","")</f>
        <v/>
      </c>
      <c r="AE16" s="27" t="str">
        <f aca="false">IF(AND($B16&lt;&gt;"",$C16="Hito",AE$7=$G16),"◆","")</f>
        <v/>
      </c>
    </row>
    <row r="17" customFormat="false" ht="25.5" hidden="false" customHeight="true" outlineLevel="0" collapsed="false">
      <c r="B17" s="16" t="s">
        <v>48</v>
      </c>
      <c r="C17" s="33" t="s">
        <v>49</v>
      </c>
      <c r="D17" s="18" t="s">
        <v>50</v>
      </c>
      <c r="E17" s="19" t="s">
        <v>51</v>
      </c>
      <c r="F17" s="20" t="s">
        <v>34</v>
      </c>
      <c r="G17" s="21" t="n">
        <v>6</v>
      </c>
      <c r="H17" s="21" t="n">
        <v>4</v>
      </c>
      <c r="I17" s="22" t="n">
        <f aca="false">$E$4+G17-1</f>
        <v>46312</v>
      </c>
      <c r="J17" s="22" t="n">
        <f aca="false">I17+H17-1</f>
        <v>46315</v>
      </c>
      <c r="K17" s="23" t="n">
        <v>6</v>
      </c>
      <c r="L17" s="23"/>
      <c r="M17" s="24" t="str">
        <f aca="false">IF(L17="","",L17-K17)</f>
        <v/>
      </c>
      <c r="N17" s="25" t="n">
        <v>0</v>
      </c>
      <c r="O17" s="26" t="str">
        <f aca="true">IF(N17&gt;=1,"Completado",IF(J17&lt;TODAY(),"Atrasado",IF(N17&gt;0,"En curso","Pendiente")))</f>
        <v>Pendiente</v>
      </c>
      <c r="P17" s="27" t="str">
        <f aca="false">IF(AND($B17&lt;&gt;"",$C17="Hito",P$7=$G17),"◆","")</f>
        <v/>
      </c>
      <c r="Q17" s="27" t="str">
        <f aca="false">IF(AND($B17&lt;&gt;"",$C17="Hito",Q$7=$G17),"◆","")</f>
        <v/>
      </c>
      <c r="R17" s="27" t="str">
        <f aca="false">IF(AND($B17&lt;&gt;"",$C17="Hito",R$7=$G17),"◆","")</f>
        <v/>
      </c>
      <c r="S17" s="27" t="str">
        <f aca="false">IF(AND($B17&lt;&gt;"",$C17="Hito",S$7=$G17),"◆","")</f>
        <v/>
      </c>
      <c r="T17" s="27" t="str">
        <f aca="false">IF(AND($B17&lt;&gt;"",$C17="Hito",T$7=$G17),"◆","")</f>
        <v/>
      </c>
      <c r="U17" s="27" t="str">
        <f aca="false">IF(AND($B17&lt;&gt;"",$C17="Hito",U$7=$G17),"◆","")</f>
        <v/>
      </c>
      <c r="V17" s="27" t="str">
        <f aca="false">IF(AND($B17&lt;&gt;"",$C17="Hito",V$7=$G17),"◆","")</f>
        <v/>
      </c>
      <c r="W17" s="27" t="str">
        <f aca="false">IF(AND($B17&lt;&gt;"",$C17="Hito",W$7=$G17),"◆","")</f>
        <v/>
      </c>
      <c r="X17" s="27" t="str">
        <f aca="false">IF(AND($B17&lt;&gt;"",$C17="Hito",X$7=$G17),"◆","")</f>
        <v/>
      </c>
      <c r="Y17" s="27" t="str">
        <f aca="false">IF(AND($B17&lt;&gt;"",$C17="Hito",Y$7=$G17),"◆","")</f>
        <v/>
      </c>
      <c r="Z17" s="27" t="str">
        <f aca="false">IF(AND($B17&lt;&gt;"",$C17="Hito",Z$7=$G17),"◆","")</f>
        <v/>
      </c>
      <c r="AA17" s="27" t="str">
        <f aca="false">IF(AND($B17&lt;&gt;"",$C17="Hito",AA$7=$G17),"◆","")</f>
        <v/>
      </c>
      <c r="AB17" s="27" t="str">
        <f aca="false">IF(AND($B17&lt;&gt;"",$C17="Hito",AB$7=$G17),"◆","")</f>
        <v/>
      </c>
      <c r="AC17" s="27" t="str">
        <f aca="false">IF(AND($B17&lt;&gt;"",$C17="Hito",AC$7=$G17),"◆","")</f>
        <v/>
      </c>
      <c r="AD17" s="27" t="str">
        <f aca="false">IF(AND($B17&lt;&gt;"",$C17="Hito",AD$7=$G17),"◆","")</f>
        <v/>
      </c>
      <c r="AE17" s="27" t="str">
        <f aca="false">IF(AND($B17&lt;&gt;"",$C17="Hito",AE$7=$G17),"◆","")</f>
        <v/>
      </c>
    </row>
    <row r="18" customFormat="false" ht="25.5" hidden="false" customHeight="true" outlineLevel="0" collapsed="false">
      <c r="B18" s="16" t="s">
        <v>52</v>
      </c>
      <c r="C18" s="33" t="s">
        <v>49</v>
      </c>
      <c r="D18" s="18" t="s">
        <v>53</v>
      </c>
      <c r="E18" s="19" t="s">
        <v>51</v>
      </c>
      <c r="F18" s="20" t="s">
        <v>54</v>
      </c>
      <c r="G18" s="21" t="n">
        <v>10</v>
      </c>
      <c r="H18" s="21" t="n">
        <v>2</v>
      </c>
      <c r="I18" s="22" t="n">
        <f aca="false">$E$4+G18-1</f>
        <v>46316</v>
      </c>
      <c r="J18" s="22" t="n">
        <f aca="false">I18+H18-1</f>
        <v>46317</v>
      </c>
      <c r="K18" s="23" t="n">
        <v>4</v>
      </c>
      <c r="L18" s="23"/>
      <c r="M18" s="24" t="str">
        <f aca="false">IF(L18="","",L18-K18)</f>
        <v/>
      </c>
      <c r="N18" s="25" t="n">
        <v>0</v>
      </c>
      <c r="O18" s="26" t="str">
        <f aca="true">IF(N18&gt;=1,"Completado",IF(J18&lt;TODAY(),"Atrasado",IF(N18&gt;0,"En curso","Pendiente")))</f>
        <v>Pendiente</v>
      </c>
      <c r="P18" s="27" t="str">
        <f aca="false">IF(AND($B18&lt;&gt;"",$C18="Hito",P$7=$G18),"◆","")</f>
        <v/>
      </c>
      <c r="Q18" s="27" t="str">
        <f aca="false">IF(AND($B18&lt;&gt;"",$C18="Hito",Q$7=$G18),"◆","")</f>
        <v/>
      </c>
      <c r="R18" s="27" t="str">
        <f aca="false">IF(AND($B18&lt;&gt;"",$C18="Hito",R$7=$G18),"◆","")</f>
        <v/>
      </c>
      <c r="S18" s="27" t="str">
        <f aca="false">IF(AND($B18&lt;&gt;"",$C18="Hito",S$7=$G18),"◆","")</f>
        <v/>
      </c>
      <c r="T18" s="27" t="str">
        <f aca="false">IF(AND($B18&lt;&gt;"",$C18="Hito",T$7=$G18),"◆","")</f>
        <v/>
      </c>
      <c r="U18" s="27" t="str">
        <f aca="false">IF(AND($B18&lt;&gt;"",$C18="Hito",U$7=$G18),"◆","")</f>
        <v/>
      </c>
      <c r="V18" s="27" t="str">
        <f aca="false">IF(AND($B18&lt;&gt;"",$C18="Hito",V$7=$G18),"◆","")</f>
        <v/>
      </c>
      <c r="W18" s="27" t="str">
        <f aca="false">IF(AND($B18&lt;&gt;"",$C18="Hito",W$7=$G18),"◆","")</f>
        <v/>
      </c>
      <c r="X18" s="27" t="str">
        <f aca="false">IF(AND($B18&lt;&gt;"",$C18="Hito",X$7=$G18),"◆","")</f>
        <v/>
      </c>
      <c r="Y18" s="27" t="str">
        <f aca="false">IF(AND($B18&lt;&gt;"",$C18="Hito",Y$7=$G18),"◆","")</f>
        <v/>
      </c>
      <c r="Z18" s="27" t="str">
        <f aca="false">IF(AND($B18&lt;&gt;"",$C18="Hito",Z$7=$G18),"◆","")</f>
        <v/>
      </c>
      <c r="AA18" s="27" t="str">
        <f aca="false">IF(AND($B18&lt;&gt;"",$C18="Hito",AA$7=$G18),"◆","")</f>
        <v/>
      </c>
      <c r="AB18" s="27" t="str">
        <f aca="false">IF(AND($B18&lt;&gt;"",$C18="Hito",AB$7=$G18),"◆","")</f>
        <v/>
      </c>
      <c r="AC18" s="27" t="str">
        <f aca="false">IF(AND($B18&lt;&gt;"",$C18="Hito",AC$7=$G18),"◆","")</f>
        <v/>
      </c>
      <c r="AD18" s="27" t="str">
        <f aca="false">IF(AND($B18&lt;&gt;"",$C18="Hito",AD$7=$G18),"◆","")</f>
        <v/>
      </c>
      <c r="AE18" s="27" t="str">
        <f aca="false">IF(AND($B18&lt;&gt;"",$C18="Hito",AE$7=$G18),"◆","")</f>
        <v/>
      </c>
    </row>
    <row r="19" customFormat="false" ht="25.5" hidden="false" customHeight="true" outlineLevel="0" collapsed="false">
      <c r="B19" s="16" t="s">
        <v>55</v>
      </c>
      <c r="C19" s="34" t="s">
        <v>56</v>
      </c>
      <c r="D19" s="18" t="s">
        <v>57</v>
      </c>
      <c r="E19" s="19" t="s">
        <v>25</v>
      </c>
      <c r="F19" s="20" t="s">
        <v>41</v>
      </c>
      <c r="G19" s="21" t="n">
        <v>9</v>
      </c>
      <c r="H19" s="21" t="n">
        <v>1</v>
      </c>
      <c r="I19" s="22" t="n">
        <f aca="false">$E$4+G19-1</f>
        <v>46315</v>
      </c>
      <c r="J19" s="22" t="n">
        <f aca="false">I19+H19-1</f>
        <v>46315</v>
      </c>
      <c r="K19" s="23" t="n">
        <v>3</v>
      </c>
      <c r="L19" s="23"/>
      <c r="M19" s="24" t="str">
        <f aca="false">IF(L19="","",L19-K19)</f>
        <v/>
      </c>
      <c r="N19" s="25" t="n">
        <v>0</v>
      </c>
      <c r="O19" s="26" t="str">
        <f aca="true">IF(N19&gt;=1,"Completado",IF(J19&lt;TODAY(),"Atrasado",IF(N19&gt;0,"En curso","Pendiente")))</f>
        <v>Pendiente</v>
      </c>
      <c r="P19" s="27" t="str">
        <f aca="false">IF(AND($B19&lt;&gt;"",$C19="Hito",P$7=$G19),"◆","")</f>
        <v/>
      </c>
      <c r="Q19" s="27" t="str">
        <f aca="false">IF(AND($B19&lt;&gt;"",$C19="Hito",Q$7=$G19),"◆","")</f>
        <v/>
      </c>
      <c r="R19" s="27" t="str">
        <f aca="false">IF(AND($B19&lt;&gt;"",$C19="Hito",R$7=$G19),"◆","")</f>
        <v/>
      </c>
      <c r="S19" s="27" t="str">
        <f aca="false">IF(AND($B19&lt;&gt;"",$C19="Hito",S$7=$G19),"◆","")</f>
        <v/>
      </c>
      <c r="T19" s="27" t="str">
        <f aca="false">IF(AND($B19&lt;&gt;"",$C19="Hito",T$7=$G19),"◆","")</f>
        <v/>
      </c>
      <c r="U19" s="27" t="str">
        <f aca="false">IF(AND($B19&lt;&gt;"",$C19="Hito",U$7=$G19),"◆","")</f>
        <v/>
      </c>
      <c r="V19" s="27" t="str">
        <f aca="false">IF(AND($B19&lt;&gt;"",$C19="Hito",V$7=$G19),"◆","")</f>
        <v/>
      </c>
      <c r="W19" s="27" t="str">
        <f aca="false">IF(AND($B19&lt;&gt;"",$C19="Hito",W$7=$G19),"◆","")</f>
        <v/>
      </c>
      <c r="X19" s="27" t="str">
        <f aca="false">IF(AND($B19&lt;&gt;"",$C19="Hito",X$7=$G19),"◆","")</f>
        <v/>
      </c>
      <c r="Y19" s="27" t="str">
        <f aca="false">IF(AND($B19&lt;&gt;"",$C19="Hito",Y$7=$G19),"◆","")</f>
        <v/>
      </c>
      <c r="Z19" s="27" t="str">
        <f aca="false">IF(AND($B19&lt;&gt;"",$C19="Hito",Z$7=$G19),"◆","")</f>
        <v/>
      </c>
      <c r="AA19" s="27" t="str">
        <f aca="false">IF(AND($B19&lt;&gt;"",$C19="Hito",AA$7=$G19),"◆","")</f>
        <v/>
      </c>
      <c r="AB19" s="27" t="str">
        <f aca="false">IF(AND($B19&lt;&gt;"",$C19="Hito",AB$7=$G19),"◆","")</f>
        <v/>
      </c>
      <c r="AC19" s="27" t="str">
        <f aca="false">IF(AND($B19&lt;&gt;"",$C19="Hito",AC$7=$G19),"◆","")</f>
        <v/>
      </c>
      <c r="AD19" s="27" t="str">
        <f aca="false">IF(AND($B19&lt;&gt;"",$C19="Hito",AD$7=$G19),"◆","")</f>
        <v/>
      </c>
      <c r="AE19" s="27" t="str">
        <f aca="false">IF(AND($B19&lt;&gt;"",$C19="Hito",AE$7=$G19),"◆","")</f>
        <v/>
      </c>
    </row>
    <row r="20" customFormat="false" ht="25.5" hidden="false" customHeight="true" outlineLevel="0" collapsed="false">
      <c r="B20" s="16" t="s">
        <v>58</v>
      </c>
      <c r="C20" s="30" t="s">
        <v>38</v>
      </c>
      <c r="D20" s="31" t="s">
        <v>59</v>
      </c>
      <c r="E20" s="19" t="s">
        <v>40</v>
      </c>
      <c r="F20" s="20" t="s">
        <v>60</v>
      </c>
      <c r="G20" s="21" t="n">
        <v>10</v>
      </c>
      <c r="H20" s="21" t="n">
        <v>1</v>
      </c>
      <c r="I20" s="22" t="n">
        <f aca="false">$E$4+G20-1</f>
        <v>46316</v>
      </c>
      <c r="J20" s="22" t="n">
        <f aca="false">I20+H20-1</f>
        <v>46316</v>
      </c>
      <c r="K20" s="23" t="n">
        <v>0</v>
      </c>
      <c r="L20" s="23"/>
      <c r="M20" s="24" t="str">
        <f aca="false">IF(L20="","",L20-K20)</f>
        <v/>
      </c>
      <c r="N20" s="25" t="n">
        <v>0</v>
      </c>
      <c r="O20" s="26" t="str">
        <f aca="true">IF(N20&gt;=1,"Completado",IF(J20&lt;TODAY(),"Atrasado",IF(N20&gt;0,"En curso","Pendiente")))</f>
        <v>Pendiente</v>
      </c>
      <c r="P20" s="27" t="str">
        <f aca="false">IF(AND($B20&lt;&gt;"",$C20="Hito",P$7=$G20),"◆","")</f>
        <v/>
      </c>
      <c r="Q20" s="27" t="str">
        <f aca="false">IF(AND($B20&lt;&gt;"",$C20="Hito",Q$7=$G20),"◆","")</f>
        <v/>
      </c>
      <c r="R20" s="27" t="str">
        <f aca="false">IF(AND($B20&lt;&gt;"",$C20="Hito",R$7=$G20),"◆","")</f>
        <v/>
      </c>
      <c r="S20" s="27" t="str">
        <f aca="false">IF(AND($B20&lt;&gt;"",$C20="Hito",S$7=$G20),"◆","")</f>
        <v/>
      </c>
      <c r="T20" s="27" t="str">
        <f aca="false">IF(AND($B20&lt;&gt;"",$C20="Hito",T$7=$G20),"◆","")</f>
        <v/>
      </c>
      <c r="U20" s="27" t="str">
        <f aca="false">IF(AND($B20&lt;&gt;"",$C20="Hito",U$7=$G20),"◆","")</f>
        <v/>
      </c>
      <c r="V20" s="27" t="str">
        <f aca="false">IF(AND($B20&lt;&gt;"",$C20="Hito",V$7=$G20),"◆","")</f>
        <v/>
      </c>
      <c r="W20" s="27" t="str">
        <f aca="false">IF(AND($B20&lt;&gt;"",$C20="Hito",W$7=$G20),"◆","")</f>
        <v/>
      </c>
      <c r="X20" s="27" t="str">
        <f aca="false">IF(AND($B20&lt;&gt;"",$C20="Hito",X$7=$G20),"◆","")</f>
        <v/>
      </c>
      <c r="Y20" s="27" t="str">
        <f aca="false">IF(AND($B20&lt;&gt;"",$C20="Hito",Y$7=$G20),"◆","")</f>
        <v>◆</v>
      </c>
      <c r="Z20" s="27" t="str">
        <f aca="false">IF(AND($B20&lt;&gt;"",$C20="Hito",Z$7=$G20),"◆","")</f>
        <v/>
      </c>
      <c r="AA20" s="27" t="str">
        <f aca="false">IF(AND($B20&lt;&gt;"",$C20="Hito",AA$7=$G20),"◆","")</f>
        <v/>
      </c>
      <c r="AB20" s="27" t="str">
        <f aca="false">IF(AND($B20&lt;&gt;"",$C20="Hito",AB$7=$G20),"◆","")</f>
        <v/>
      </c>
      <c r="AC20" s="27" t="str">
        <f aca="false">IF(AND($B20&lt;&gt;"",$C20="Hito",AC$7=$G20),"◆","")</f>
        <v/>
      </c>
      <c r="AD20" s="27" t="str">
        <f aca="false">IF(AND($B20&lt;&gt;"",$C20="Hito",AD$7=$G20),"◆","")</f>
        <v/>
      </c>
      <c r="AE20" s="27" t="str">
        <f aca="false">IF(AND($B20&lt;&gt;"",$C20="Hito",AE$7=$G20),"◆","")</f>
        <v/>
      </c>
    </row>
    <row r="21" customFormat="false" ht="25.5" hidden="false" customHeight="true" outlineLevel="0" collapsed="false">
      <c r="B21" s="16" t="s">
        <v>61</v>
      </c>
      <c r="C21" s="34" t="s">
        <v>56</v>
      </c>
      <c r="D21" s="18" t="s">
        <v>62</v>
      </c>
      <c r="E21" s="19" t="s">
        <v>40</v>
      </c>
      <c r="F21" s="20" t="s">
        <v>63</v>
      </c>
      <c r="G21" s="21" t="n">
        <v>11</v>
      </c>
      <c r="H21" s="21" t="n">
        <v>2</v>
      </c>
      <c r="I21" s="22" t="n">
        <f aca="false">$E$4+G21-1</f>
        <v>46317</v>
      </c>
      <c r="J21" s="22" t="n">
        <f aca="false">I21+H21-1</f>
        <v>46318</v>
      </c>
      <c r="K21" s="23" t="n">
        <v>5</v>
      </c>
      <c r="L21" s="23"/>
      <c r="M21" s="24" t="str">
        <f aca="false">IF(L21="","",L21-K21)</f>
        <v/>
      </c>
      <c r="N21" s="25" t="n">
        <v>0</v>
      </c>
      <c r="O21" s="26" t="str">
        <f aca="true">IF(N21&gt;=1,"Completado",IF(J21&lt;TODAY(),"Atrasado",IF(N21&gt;0,"En curso","Pendiente")))</f>
        <v>Pendiente</v>
      </c>
      <c r="P21" s="27" t="str">
        <f aca="false">IF(AND($B21&lt;&gt;"",$C21="Hito",P$7=$G21),"◆","")</f>
        <v/>
      </c>
      <c r="Q21" s="27" t="str">
        <f aca="false">IF(AND($B21&lt;&gt;"",$C21="Hito",Q$7=$G21),"◆","")</f>
        <v/>
      </c>
      <c r="R21" s="27" t="str">
        <f aca="false">IF(AND($B21&lt;&gt;"",$C21="Hito",R$7=$G21),"◆","")</f>
        <v/>
      </c>
      <c r="S21" s="27" t="str">
        <f aca="false">IF(AND($B21&lt;&gt;"",$C21="Hito",S$7=$G21),"◆","")</f>
        <v/>
      </c>
      <c r="T21" s="27" t="str">
        <f aca="false">IF(AND($B21&lt;&gt;"",$C21="Hito",T$7=$G21),"◆","")</f>
        <v/>
      </c>
      <c r="U21" s="27" t="str">
        <f aca="false">IF(AND($B21&lt;&gt;"",$C21="Hito",U$7=$G21),"◆","")</f>
        <v/>
      </c>
      <c r="V21" s="27" t="str">
        <f aca="false">IF(AND($B21&lt;&gt;"",$C21="Hito",V$7=$G21),"◆","")</f>
        <v/>
      </c>
      <c r="W21" s="27" t="str">
        <f aca="false">IF(AND($B21&lt;&gt;"",$C21="Hito",W$7=$G21),"◆","")</f>
        <v/>
      </c>
      <c r="X21" s="27" t="str">
        <f aca="false">IF(AND($B21&lt;&gt;"",$C21="Hito",X$7=$G21),"◆","")</f>
        <v/>
      </c>
      <c r="Y21" s="27" t="str">
        <f aca="false">IF(AND($B21&lt;&gt;"",$C21="Hito",Y$7=$G21),"◆","")</f>
        <v/>
      </c>
      <c r="Z21" s="27" t="str">
        <f aca="false">IF(AND($B21&lt;&gt;"",$C21="Hito",Z$7=$G21),"◆","")</f>
        <v/>
      </c>
      <c r="AA21" s="27" t="str">
        <f aca="false">IF(AND($B21&lt;&gt;"",$C21="Hito",AA$7=$G21),"◆","")</f>
        <v/>
      </c>
      <c r="AB21" s="27" t="str">
        <f aca="false">IF(AND($B21&lt;&gt;"",$C21="Hito",AB$7=$G21),"◆","")</f>
        <v/>
      </c>
      <c r="AC21" s="27" t="str">
        <f aca="false">IF(AND($B21&lt;&gt;"",$C21="Hito",AC$7=$G21),"◆","")</f>
        <v/>
      </c>
      <c r="AD21" s="27" t="str">
        <f aca="false">IF(AND($B21&lt;&gt;"",$C21="Hito",AD$7=$G21),"◆","")</f>
        <v/>
      </c>
      <c r="AE21" s="27" t="str">
        <f aca="false">IF(AND($B21&lt;&gt;"",$C21="Hito",AE$7=$G21),"◆","")</f>
        <v/>
      </c>
    </row>
    <row r="22" customFormat="false" ht="25.5" hidden="false" customHeight="true" outlineLevel="0" collapsed="false">
      <c r="B22" s="16" t="s">
        <v>64</v>
      </c>
      <c r="C22" s="35" t="s">
        <v>65</v>
      </c>
      <c r="D22" s="18" t="s">
        <v>66</v>
      </c>
      <c r="E22" s="19" t="s">
        <v>45</v>
      </c>
      <c r="F22" s="20" t="s">
        <v>32</v>
      </c>
      <c r="G22" s="21" t="n">
        <v>10</v>
      </c>
      <c r="H22" s="21" t="n">
        <v>1</v>
      </c>
      <c r="I22" s="22" t="n">
        <f aca="false">$E$4+G22-1</f>
        <v>46316</v>
      </c>
      <c r="J22" s="22" t="n">
        <f aca="false">I22+H22-1</f>
        <v>46316</v>
      </c>
      <c r="K22" s="23" t="n">
        <v>4</v>
      </c>
      <c r="L22" s="23"/>
      <c r="M22" s="24" t="str">
        <f aca="false">IF(L22="","",L22-K22)</f>
        <v/>
      </c>
      <c r="N22" s="25" t="n">
        <v>0</v>
      </c>
      <c r="O22" s="26" t="str">
        <f aca="true">IF(N22&gt;=1,"Completado",IF(J22&lt;TODAY(),"Atrasado",IF(N22&gt;0,"En curso","Pendiente")))</f>
        <v>Pendiente</v>
      </c>
      <c r="P22" s="27" t="str">
        <f aca="false">IF(AND($B22&lt;&gt;"",$C22="Hito",P$7=$G22),"◆","")</f>
        <v/>
      </c>
      <c r="Q22" s="27" t="str">
        <f aca="false">IF(AND($B22&lt;&gt;"",$C22="Hito",Q$7=$G22),"◆","")</f>
        <v/>
      </c>
      <c r="R22" s="27" t="str">
        <f aca="false">IF(AND($B22&lt;&gt;"",$C22="Hito",R$7=$G22),"◆","")</f>
        <v/>
      </c>
      <c r="S22" s="27" t="str">
        <f aca="false">IF(AND($B22&lt;&gt;"",$C22="Hito",S$7=$G22),"◆","")</f>
        <v/>
      </c>
      <c r="T22" s="27" t="str">
        <f aca="false">IF(AND($B22&lt;&gt;"",$C22="Hito",T$7=$G22),"◆","")</f>
        <v/>
      </c>
      <c r="U22" s="27" t="str">
        <f aca="false">IF(AND($B22&lt;&gt;"",$C22="Hito",U$7=$G22),"◆","")</f>
        <v/>
      </c>
      <c r="V22" s="27" t="str">
        <f aca="false">IF(AND($B22&lt;&gt;"",$C22="Hito",V$7=$G22),"◆","")</f>
        <v/>
      </c>
      <c r="W22" s="27" t="str">
        <f aca="false">IF(AND($B22&lt;&gt;"",$C22="Hito",W$7=$G22),"◆","")</f>
        <v/>
      </c>
      <c r="X22" s="27" t="str">
        <f aca="false">IF(AND($B22&lt;&gt;"",$C22="Hito",X$7=$G22),"◆","")</f>
        <v/>
      </c>
      <c r="Y22" s="27" t="str">
        <f aca="false">IF(AND($B22&lt;&gt;"",$C22="Hito",Y$7=$G22),"◆","")</f>
        <v/>
      </c>
      <c r="Z22" s="27" t="str">
        <f aca="false">IF(AND($B22&lt;&gt;"",$C22="Hito",Z$7=$G22),"◆","")</f>
        <v/>
      </c>
      <c r="AA22" s="27" t="str">
        <f aca="false">IF(AND($B22&lt;&gt;"",$C22="Hito",AA$7=$G22),"◆","")</f>
        <v/>
      </c>
      <c r="AB22" s="27" t="str">
        <f aca="false">IF(AND($B22&lt;&gt;"",$C22="Hito",AB$7=$G22),"◆","")</f>
        <v/>
      </c>
      <c r="AC22" s="27" t="str">
        <f aca="false">IF(AND($B22&lt;&gt;"",$C22="Hito",AC$7=$G22),"◆","")</f>
        <v/>
      </c>
      <c r="AD22" s="27" t="str">
        <f aca="false">IF(AND($B22&lt;&gt;"",$C22="Hito",AD$7=$G22),"◆","")</f>
        <v/>
      </c>
      <c r="AE22" s="27" t="str">
        <f aca="false">IF(AND($B22&lt;&gt;"",$C22="Hito",AE$7=$G22),"◆","")</f>
        <v/>
      </c>
    </row>
    <row r="23" customFormat="false" ht="25.5" hidden="false" customHeight="true" outlineLevel="0" collapsed="false">
      <c r="B23" s="16" t="s">
        <v>67</v>
      </c>
      <c r="C23" s="35" t="s">
        <v>65</v>
      </c>
      <c r="D23" s="18" t="s">
        <v>68</v>
      </c>
      <c r="E23" s="19" t="s">
        <v>51</v>
      </c>
      <c r="F23" s="20" t="s">
        <v>64</v>
      </c>
      <c r="G23" s="21" t="n">
        <v>11</v>
      </c>
      <c r="H23" s="21" t="n">
        <v>2</v>
      </c>
      <c r="I23" s="22" t="n">
        <f aca="false">$E$4+G23-1</f>
        <v>46317</v>
      </c>
      <c r="J23" s="22" t="n">
        <f aca="false">I23+H23-1</f>
        <v>46318</v>
      </c>
      <c r="K23" s="23" t="n">
        <v>4</v>
      </c>
      <c r="L23" s="23"/>
      <c r="M23" s="24" t="str">
        <f aca="false">IF(L23="","",L23-K23)</f>
        <v/>
      </c>
      <c r="N23" s="25" t="n">
        <v>0</v>
      </c>
      <c r="O23" s="26" t="str">
        <f aca="true">IF(N23&gt;=1,"Completado",IF(J23&lt;TODAY(),"Atrasado",IF(N23&gt;0,"En curso","Pendiente")))</f>
        <v>Pendiente</v>
      </c>
      <c r="P23" s="27" t="str">
        <f aca="false">IF(AND($B23&lt;&gt;"",$C23="Hito",P$7=$G23),"◆","")</f>
        <v/>
      </c>
      <c r="Q23" s="27" t="str">
        <f aca="false">IF(AND($B23&lt;&gt;"",$C23="Hito",Q$7=$G23),"◆","")</f>
        <v/>
      </c>
      <c r="R23" s="27" t="str">
        <f aca="false">IF(AND($B23&lt;&gt;"",$C23="Hito",R$7=$G23),"◆","")</f>
        <v/>
      </c>
      <c r="S23" s="27" t="str">
        <f aca="false">IF(AND($B23&lt;&gt;"",$C23="Hito",S$7=$G23),"◆","")</f>
        <v/>
      </c>
      <c r="T23" s="27" t="str">
        <f aca="false">IF(AND($B23&lt;&gt;"",$C23="Hito",T$7=$G23),"◆","")</f>
        <v/>
      </c>
      <c r="U23" s="27" t="str">
        <f aca="false">IF(AND($B23&lt;&gt;"",$C23="Hito",U$7=$G23),"◆","")</f>
        <v/>
      </c>
      <c r="V23" s="27" t="str">
        <f aca="false">IF(AND($B23&lt;&gt;"",$C23="Hito",V$7=$G23),"◆","")</f>
        <v/>
      </c>
      <c r="W23" s="27" t="str">
        <f aca="false">IF(AND($B23&lt;&gt;"",$C23="Hito",W$7=$G23),"◆","")</f>
        <v/>
      </c>
      <c r="X23" s="27" t="str">
        <f aca="false">IF(AND($B23&lt;&gt;"",$C23="Hito",X$7=$G23),"◆","")</f>
        <v/>
      </c>
      <c r="Y23" s="27" t="str">
        <f aca="false">IF(AND($B23&lt;&gt;"",$C23="Hito",Y$7=$G23),"◆","")</f>
        <v/>
      </c>
      <c r="Z23" s="27" t="str">
        <f aca="false">IF(AND($B23&lt;&gt;"",$C23="Hito",Z$7=$G23),"◆","")</f>
        <v/>
      </c>
      <c r="AA23" s="27" t="str">
        <f aca="false">IF(AND($B23&lt;&gt;"",$C23="Hito",AA$7=$G23),"◆","")</f>
        <v/>
      </c>
      <c r="AB23" s="27" t="str">
        <f aca="false">IF(AND($B23&lt;&gt;"",$C23="Hito",AB$7=$G23),"◆","")</f>
        <v/>
      </c>
      <c r="AC23" s="27" t="str">
        <f aca="false">IF(AND($B23&lt;&gt;"",$C23="Hito",AC$7=$G23),"◆","")</f>
        <v/>
      </c>
      <c r="AD23" s="27" t="str">
        <f aca="false">IF(AND($B23&lt;&gt;"",$C23="Hito",AD$7=$G23),"◆","")</f>
        <v/>
      </c>
      <c r="AE23" s="27" t="str">
        <f aca="false">IF(AND($B23&lt;&gt;"",$C23="Hito",AE$7=$G23),"◆","")</f>
        <v/>
      </c>
    </row>
    <row r="24" customFormat="false" ht="25.5" hidden="false" customHeight="true" outlineLevel="0" collapsed="false">
      <c r="B24" s="16" t="s">
        <v>69</v>
      </c>
      <c r="C24" s="36" t="s">
        <v>70</v>
      </c>
      <c r="D24" s="18" t="s">
        <v>71</v>
      </c>
      <c r="E24" s="19" t="s">
        <v>40</v>
      </c>
      <c r="F24" s="20" t="s">
        <v>72</v>
      </c>
      <c r="G24" s="21" t="n">
        <v>13</v>
      </c>
      <c r="H24" s="21" t="n">
        <v>2</v>
      </c>
      <c r="I24" s="22" t="n">
        <f aca="false">$E$4+G24-1</f>
        <v>46319</v>
      </c>
      <c r="J24" s="22" t="n">
        <f aca="false">I24+H24-1</f>
        <v>46320</v>
      </c>
      <c r="K24" s="23" t="n">
        <v>8</v>
      </c>
      <c r="L24" s="23"/>
      <c r="M24" s="24" t="str">
        <f aca="false">IF(L24="","",L24-K24)</f>
        <v/>
      </c>
      <c r="N24" s="25" t="n">
        <v>0</v>
      </c>
      <c r="O24" s="26" t="str">
        <f aca="true">IF(N24&gt;=1,"Completado",IF(J24&lt;TODAY(),"Atrasado",IF(N24&gt;0,"En curso","Pendiente")))</f>
        <v>Pendiente</v>
      </c>
      <c r="P24" s="27" t="str">
        <f aca="false">IF(AND($B24&lt;&gt;"",$C24="Hito",P$7=$G24),"◆","")</f>
        <v/>
      </c>
      <c r="Q24" s="27" t="str">
        <f aca="false">IF(AND($B24&lt;&gt;"",$C24="Hito",Q$7=$G24),"◆","")</f>
        <v/>
      </c>
      <c r="R24" s="27" t="str">
        <f aca="false">IF(AND($B24&lt;&gt;"",$C24="Hito",R$7=$G24),"◆","")</f>
        <v/>
      </c>
      <c r="S24" s="27" t="str">
        <f aca="false">IF(AND($B24&lt;&gt;"",$C24="Hito",S$7=$G24),"◆","")</f>
        <v/>
      </c>
      <c r="T24" s="27" t="str">
        <f aca="false">IF(AND($B24&lt;&gt;"",$C24="Hito",T$7=$G24),"◆","")</f>
        <v/>
      </c>
      <c r="U24" s="27" t="str">
        <f aca="false">IF(AND($B24&lt;&gt;"",$C24="Hito",U$7=$G24),"◆","")</f>
        <v/>
      </c>
      <c r="V24" s="27" t="str">
        <f aca="false">IF(AND($B24&lt;&gt;"",$C24="Hito",V$7=$G24),"◆","")</f>
        <v/>
      </c>
      <c r="W24" s="27" t="str">
        <f aca="false">IF(AND($B24&lt;&gt;"",$C24="Hito",W$7=$G24),"◆","")</f>
        <v/>
      </c>
      <c r="X24" s="27" t="str">
        <f aca="false">IF(AND($B24&lt;&gt;"",$C24="Hito",X$7=$G24),"◆","")</f>
        <v/>
      </c>
      <c r="Y24" s="27" t="str">
        <f aca="false">IF(AND($B24&lt;&gt;"",$C24="Hito",Y$7=$G24),"◆","")</f>
        <v/>
      </c>
      <c r="Z24" s="27" t="str">
        <f aca="false">IF(AND($B24&lt;&gt;"",$C24="Hito",Z$7=$G24),"◆","")</f>
        <v/>
      </c>
      <c r="AA24" s="27" t="str">
        <f aca="false">IF(AND($B24&lt;&gt;"",$C24="Hito",AA$7=$G24),"◆","")</f>
        <v/>
      </c>
      <c r="AB24" s="27" t="str">
        <f aca="false">IF(AND($B24&lt;&gt;"",$C24="Hito",AB$7=$G24),"◆","")</f>
        <v/>
      </c>
      <c r="AC24" s="27" t="str">
        <f aca="false">IF(AND($B24&lt;&gt;"",$C24="Hito",AC$7=$G24),"◆","")</f>
        <v/>
      </c>
      <c r="AD24" s="27" t="str">
        <f aca="false">IF(AND($B24&lt;&gt;"",$C24="Hito",AD$7=$G24),"◆","")</f>
        <v/>
      </c>
      <c r="AE24" s="27" t="str">
        <f aca="false">IF(AND($B24&lt;&gt;"",$C24="Hito",AE$7=$G24),"◆","")</f>
        <v/>
      </c>
    </row>
    <row r="25" customFormat="false" ht="25.5" hidden="false" customHeight="true" outlineLevel="0" collapsed="false">
      <c r="B25" s="16" t="s">
        <v>73</v>
      </c>
      <c r="C25" s="36" t="s">
        <v>70</v>
      </c>
      <c r="D25" s="18" t="s">
        <v>74</v>
      </c>
      <c r="E25" s="19" t="s">
        <v>45</v>
      </c>
      <c r="F25" s="20" t="s">
        <v>52</v>
      </c>
      <c r="G25" s="21" t="n">
        <v>12</v>
      </c>
      <c r="H25" s="21" t="n">
        <v>2</v>
      </c>
      <c r="I25" s="22" t="n">
        <f aca="false">$E$4+G25-1</f>
        <v>46318</v>
      </c>
      <c r="J25" s="22" t="n">
        <f aca="false">I25+H25-1</f>
        <v>46319</v>
      </c>
      <c r="K25" s="23" t="n">
        <v>2</v>
      </c>
      <c r="L25" s="23"/>
      <c r="M25" s="24" t="str">
        <f aca="false">IF(L25="","",L25-K25)</f>
        <v/>
      </c>
      <c r="N25" s="25" t="n">
        <v>0</v>
      </c>
      <c r="O25" s="26" t="str">
        <f aca="true">IF(N25&gt;=1,"Completado",IF(J25&lt;TODAY(),"Atrasado",IF(N25&gt;0,"En curso","Pendiente")))</f>
        <v>Pendiente</v>
      </c>
      <c r="P25" s="27" t="str">
        <f aca="false">IF(AND($B25&lt;&gt;"",$C25="Hito",P$7=$G25),"◆","")</f>
        <v/>
      </c>
      <c r="Q25" s="27" t="str">
        <f aca="false">IF(AND($B25&lt;&gt;"",$C25="Hito",Q$7=$G25),"◆","")</f>
        <v/>
      </c>
      <c r="R25" s="27" t="str">
        <f aca="false">IF(AND($B25&lt;&gt;"",$C25="Hito",R$7=$G25),"◆","")</f>
        <v/>
      </c>
      <c r="S25" s="27" t="str">
        <f aca="false">IF(AND($B25&lt;&gt;"",$C25="Hito",S$7=$G25),"◆","")</f>
        <v/>
      </c>
      <c r="T25" s="27" t="str">
        <f aca="false">IF(AND($B25&lt;&gt;"",$C25="Hito",T$7=$G25),"◆","")</f>
        <v/>
      </c>
      <c r="U25" s="27" t="str">
        <f aca="false">IF(AND($B25&lt;&gt;"",$C25="Hito",U$7=$G25),"◆","")</f>
        <v/>
      </c>
      <c r="V25" s="27" t="str">
        <f aca="false">IF(AND($B25&lt;&gt;"",$C25="Hito",V$7=$G25),"◆","")</f>
        <v/>
      </c>
      <c r="W25" s="27" t="str">
        <f aca="false">IF(AND($B25&lt;&gt;"",$C25="Hito",W$7=$G25),"◆","")</f>
        <v/>
      </c>
      <c r="X25" s="27" t="str">
        <f aca="false">IF(AND($B25&lt;&gt;"",$C25="Hito",X$7=$G25),"◆","")</f>
        <v/>
      </c>
      <c r="Y25" s="27" t="str">
        <f aca="false">IF(AND($B25&lt;&gt;"",$C25="Hito",Y$7=$G25),"◆","")</f>
        <v/>
      </c>
      <c r="Z25" s="27" t="str">
        <f aca="false">IF(AND($B25&lt;&gt;"",$C25="Hito",Z$7=$G25),"◆","")</f>
        <v/>
      </c>
      <c r="AA25" s="27" t="str">
        <f aca="false">IF(AND($B25&lt;&gt;"",$C25="Hito",AA$7=$G25),"◆","")</f>
        <v/>
      </c>
      <c r="AB25" s="27" t="str">
        <f aca="false">IF(AND($B25&lt;&gt;"",$C25="Hito",AB$7=$G25),"◆","")</f>
        <v/>
      </c>
      <c r="AC25" s="27" t="str">
        <f aca="false">IF(AND($B25&lt;&gt;"",$C25="Hito",AC$7=$G25),"◆","")</f>
        <v/>
      </c>
      <c r="AD25" s="27" t="str">
        <f aca="false">IF(AND($B25&lt;&gt;"",$C25="Hito",AD$7=$G25),"◆","")</f>
        <v/>
      </c>
      <c r="AE25" s="27" t="str">
        <f aca="false">IF(AND($B25&lt;&gt;"",$C25="Hito",AE$7=$G25),"◆","")</f>
        <v/>
      </c>
    </row>
    <row r="26" customFormat="false" ht="25.5" hidden="false" customHeight="true" outlineLevel="0" collapsed="false">
      <c r="B26" s="16" t="s">
        <v>75</v>
      </c>
      <c r="C26" s="36" t="s">
        <v>70</v>
      </c>
      <c r="D26" s="18" t="s">
        <v>76</v>
      </c>
      <c r="E26" s="19" t="s">
        <v>40</v>
      </c>
      <c r="F26" s="20" t="s">
        <v>61</v>
      </c>
      <c r="G26" s="21" t="n">
        <v>14</v>
      </c>
      <c r="H26" s="21" t="n">
        <v>1</v>
      </c>
      <c r="I26" s="22" t="n">
        <f aca="false">$E$4+G26-1</f>
        <v>46320</v>
      </c>
      <c r="J26" s="22" t="n">
        <f aca="false">I26+H26-1</f>
        <v>46320</v>
      </c>
      <c r="K26" s="23" t="n">
        <v>2</v>
      </c>
      <c r="L26" s="23"/>
      <c r="M26" s="24" t="str">
        <f aca="false">IF(L26="","",L26-K26)</f>
        <v/>
      </c>
      <c r="N26" s="25" t="n">
        <v>0</v>
      </c>
      <c r="O26" s="26" t="str">
        <f aca="true">IF(N26&gt;=1,"Completado",IF(J26&lt;TODAY(),"Atrasado",IF(N26&gt;0,"En curso","Pendiente")))</f>
        <v>Pendiente</v>
      </c>
      <c r="P26" s="27" t="str">
        <f aca="false">IF(AND($B26&lt;&gt;"",$C26="Hito",P$7=$G26),"◆","")</f>
        <v/>
      </c>
      <c r="Q26" s="27" t="str">
        <f aca="false">IF(AND($B26&lt;&gt;"",$C26="Hito",Q$7=$G26),"◆","")</f>
        <v/>
      </c>
      <c r="R26" s="27" t="str">
        <f aca="false">IF(AND($B26&lt;&gt;"",$C26="Hito",R$7=$G26),"◆","")</f>
        <v/>
      </c>
      <c r="S26" s="27" t="str">
        <f aca="false">IF(AND($B26&lt;&gt;"",$C26="Hito",S$7=$G26),"◆","")</f>
        <v/>
      </c>
      <c r="T26" s="27" t="str">
        <f aca="false">IF(AND($B26&lt;&gt;"",$C26="Hito",T$7=$G26),"◆","")</f>
        <v/>
      </c>
      <c r="U26" s="27" t="str">
        <f aca="false">IF(AND($B26&lt;&gt;"",$C26="Hito",U$7=$G26),"◆","")</f>
        <v/>
      </c>
      <c r="V26" s="27" t="str">
        <f aca="false">IF(AND($B26&lt;&gt;"",$C26="Hito",V$7=$G26),"◆","")</f>
        <v/>
      </c>
      <c r="W26" s="27" t="str">
        <f aca="false">IF(AND($B26&lt;&gt;"",$C26="Hito",W$7=$G26),"◆","")</f>
        <v/>
      </c>
      <c r="X26" s="27" t="str">
        <f aca="false">IF(AND($B26&lt;&gt;"",$C26="Hito",X$7=$G26),"◆","")</f>
        <v/>
      </c>
      <c r="Y26" s="27" t="str">
        <f aca="false">IF(AND($B26&lt;&gt;"",$C26="Hito",Y$7=$G26),"◆","")</f>
        <v/>
      </c>
      <c r="Z26" s="27" t="str">
        <f aca="false">IF(AND($B26&lt;&gt;"",$C26="Hito",Z$7=$G26),"◆","")</f>
        <v/>
      </c>
      <c r="AA26" s="27" t="str">
        <f aca="false">IF(AND($B26&lt;&gt;"",$C26="Hito",AA$7=$G26),"◆","")</f>
        <v/>
      </c>
      <c r="AB26" s="27" t="str">
        <f aca="false">IF(AND($B26&lt;&gt;"",$C26="Hito",AB$7=$G26),"◆","")</f>
        <v/>
      </c>
      <c r="AC26" s="27" t="str">
        <f aca="false">IF(AND($B26&lt;&gt;"",$C26="Hito",AC$7=$G26),"◆","")</f>
        <v/>
      </c>
      <c r="AD26" s="27" t="str">
        <f aca="false">IF(AND($B26&lt;&gt;"",$C26="Hito",AD$7=$G26),"◆","")</f>
        <v/>
      </c>
      <c r="AE26" s="27" t="str">
        <f aca="false">IF(AND($B26&lt;&gt;"",$C26="Hito",AE$7=$G26),"◆","")</f>
        <v/>
      </c>
    </row>
    <row r="27" customFormat="false" ht="25.5" hidden="false" customHeight="true" outlineLevel="0" collapsed="false">
      <c r="B27" s="16" t="s">
        <v>77</v>
      </c>
      <c r="C27" s="30" t="s">
        <v>38</v>
      </c>
      <c r="D27" s="31" t="s">
        <v>78</v>
      </c>
      <c r="E27" s="19" t="s">
        <v>40</v>
      </c>
      <c r="F27" s="20" t="s">
        <v>79</v>
      </c>
      <c r="G27" s="21" t="n">
        <v>14</v>
      </c>
      <c r="H27" s="21" t="n">
        <v>1</v>
      </c>
      <c r="I27" s="22" t="n">
        <f aca="false">$E$4+G27-1</f>
        <v>46320</v>
      </c>
      <c r="J27" s="22" t="n">
        <f aca="false">I27+H27-1</f>
        <v>46320</v>
      </c>
      <c r="K27" s="23" t="n">
        <v>0</v>
      </c>
      <c r="L27" s="23"/>
      <c r="M27" s="24" t="str">
        <f aca="false">IF(L27="","",L27-K27)</f>
        <v/>
      </c>
      <c r="N27" s="25" t="n">
        <v>0</v>
      </c>
      <c r="O27" s="26" t="str">
        <f aca="true">IF(N27&gt;=1,"Completado",IF(J27&lt;TODAY(),"Atrasado",IF(N27&gt;0,"En curso","Pendiente")))</f>
        <v>Pendiente</v>
      </c>
      <c r="P27" s="27" t="str">
        <f aca="false">IF(AND($B27&lt;&gt;"",$C27="Hito",P$7=$G27),"◆","")</f>
        <v/>
      </c>
      <c r="Q27" s="27" t="str">
        <f aca="false">IF(AND($B27&lt;&gt;"",$C27="Hito",Q$7=$G27),"◆","")</f>
        <v/>
      </c>
      <c r="R27" s="27" t="str">
        <f aca="false">IF(AND($B27&lt;&gt;"",$C27="Hito",R$7=$G27),"◆","")</f>
        <v/>
      </c>
      <c r="S27" s="27" t="str">
        <f aca="false">IF(AND($B27&lt;&gt;"",$C27="Hito",S$7=$G27),"◆","")</f>
        <v/>
      </c>
      <c r="T27" s="27" t="str">
        <f aca="false">IF(AND($B27&lt;&gt;"",$C27="Hito",T$7=$G27),"◆","")</f>
        <v/>
      </c>
      <c r="U27" s="27" t="str">
        <f aca="false">IF(AND($B27&lt;&gt;"",$C27="Hito",U$7=$G27),"◆","")</f>
        <v/>
      </c>
      <c r="V27" s="27" t="str">
        <f aca="false">IF(AND($B27&lt;&gt;"",$C27="Hito",V$7=$G27),"◆","")</f>
        <v/>
      </c>
      <c r="W27" s="27" t="str">
        <f aca="false">IF(AND($B27&lt;&gt;"",$C27="Hito",W$7=$G27),"◆","")</f>
        <v/>
      </c>
      <c r="X27" s="27" t="str">
        <f aca="false">IF(AND($B27&lt;&gt;"",$C27="Hito",X$7=$G27),"◆","")</f>
        <v/>
      </c>
      <c r="Y27" s="27" t="str">
        <f aca="false">IF(AND($B27&lt;&gt;"",$C27="Hito",Y$7=$G27),"◆","")</f>
        <v/>
      </c>
      <c r="Z27" s="27" t="str">
        <f aca="false">IF(AND($B27&lt;&gt;"",$C27="Hito",Z$7=$G27),"◆","")</f>
        <v/>
      </c>
      <c r="AA27" s="27" t="str">
        <f aca="false">IF(AND($B27&lt;&gt;"",$C27="Hito",AA$7=$G27),"◆","")</f>
        <v/>
      </c>
      <c r="AB27" s="27" t="str">
        <f aca="false">IF(AND($B27&lt;&gt;"",$C27="Hito",AB$7=$G27),"◆","")</f>
        <v/>
      </c>
      <c r="AC27" s="27" t="str">
        <f aca="false">IF(AND($B27&lt;&gt;"",$C27="Hito",AC$7=$G27),"◆","")</f>
        <v>◆</v>
      </c>
      <c r="AD27" s="27" t="str">
        <f aca="false">IF(AND($B27&lt;&gt;"",$C27="Hito",AD$7=$G27),"◆","")</f>
        <v/>
      </c>
      <c r="AE27" s="27" t="str">
        <f aca="false">IF(AND($B27&lt;&gt;"",$C27="Hito",AE$7=$G27),"◆","")</f>
        <v/>
      </c>
    </row>
    <row r="28" customFormat="false" ht="25.5" hidden="false" customHeight="true" outlineLevel="0" collapsed="false">
      <c r="B28" s="16" t="s">
        <v>80</v>
      </c>
      <c r="C28" s="36" t="s">
        <v>70</v>
      </c>
      <c r="D28" s="18" t="s">
        <v>81</v>
      </c>
      <c r="E28" s="19" t="s">
        <v>40</v>
      </c>
      <c r="F28" s="20" t="s">
        <v>77</v>
      </c>
      <c r="G28" s="21" t="n">
        <v>15</v>
      </c>
      <c r="H28" s="21" t="n">
        <v>2</v>
      </c>
      <c r="I28" s="22" t="n">
        <f aca="false">$E$4+G28-1</f>
        <v>46321</v>
      </c>
      <c r="J28" s="22" t="n">
        <f aca="false">I28+H28-1</f>
        <v>46322</v>
      </c>
      <c r="K28" s="23" t="n">
        <v>3</v>
      </c>
      <c r="L28" s="23"/>
      <c r="M28" s="24" t="str">
        <f aca="false">IF(L28="","",L28-K28)</f>
        <v/>
      </c>
      <c r="N28" s="25" t="n">
        <v>0</v>
      </c>
      <c r="O28" s="26" t="str">
        <f aca="true">IF(N28&gt;=1,"Completado",IF(J28&lt;TODAY(),"Atrasado",IF(N28&gt;0,"En curso","Pendiente")))</f>
        <v>Pendiente</v>
      </c>
      <c r="P28" s="27" t="str">
        <f aca="false">IF(AND($B28&lt;&gt;"",$C28="Hito",P$7=$G28),"◆","")</f>
        <v/>
      </c>
      <c r="Q28" s="27" t="str">
        <f aca="false">IF(AND($B28&lt;&gt;"",$C28="Hito",Q$7=$G28),"◆","")</f>
        <v/>
      </c>
      <c r="R28" s="27" t="str">
        <f aca="false">IF(AND($B28&lt;&gt;"",$C28="Hito",R$7=$G28),"◆","")</f>
        <v/>
      </c>
      <c r="S28" s="27" t="str">
        <f aca="false">IF(AND($B28&lt;&gt;"",$C28="Hito",S$7=$G28),"◆","")</f>
        <v/>
      </c>
      <c r="T28" s="27" t="str">
        <f aca="false">IF(AND($B28&lt;&gt;"",$C28="Hito",T$7=$G28),"◆","")</f>
        <v/>
      </c>
      <c r="U28" s="27" t="str">
        <f aca="false">IF(AND($B28&lt;&gt;"",$C28="Hito",U$7=$G28),"◆","")</f>
        <v/>
      </c>
      <c r="V28" s="27" t="str">
        <f aca="false">IF(AND($B28&lt;&gt;"",$C28="Hito",V$7=$G28),"◆","")</f>
        <v/>
      </c>
      <c r="W28" s="27" t="str">
        <f aca="false">IF(AND($B28&lt;&gt;"",$C28="Hito",W$7=$G28),"◆","")</f>
        <v/>
      </c>
      <c r="X28" s="27" t="str">
        <f aca="false">IF(AND($B28&lt;&gt;"",$C28="Hito",X$7=$G28),"◆","")</f>
        <v/>
      </c>
      <c r="Y28" s="27" t="str">
        <f aca="false">IF(AND($B28&lt;&gt;"",$C28="Hito",Y$7=$G28),"◆","")</f>
        <v/>
      </c>
      <c r="Z28" s="27" t="str">
        <f aca="false">IF(AND($B28&lt;&gt;"",$C28="Hito",Z$7=$G28),"◆","")</f>
        <v/>
      </c>
      <c r="AA28" s="27" t="str">
        <f aca="false">IF(AND($B28&lt;&gt;"",$C28="Hito",AA$7=$G28),"◆","")</f>
        <v/>
      </c>
      <c r="AB28" s="27" t="str">
        <f aca="false">IF(AND($B28&lt;&gt;"",$C28="Hito",AB$7=$G28),"◆","")</f>
        <v/>
      </c>
      <c r="AC28" s="27" t="str">
        <f aca="false">IF(AND($B28&lt;&gt;"",$C28="Hito",AC$7=$G28),"◆","")</f>
        <v/>
      </c>
      <c r="AD28" s="27" t="str">
        <f aca="false">IF(AND($B28&lt;&gt;"",$C28="Hito",AD$7=$G28),"◆","")</f>
        <v/>
      </c>
      <c r="AE28" s="27" t="str">
        <f aca="false">IF(AND($B28&lt;&gt;"",$C28="Hito",AE$7=$G28),"◆","")</f>
        <v/>
      </c>
    </row>
    <row r="29" customFormat="false" ht="21.75" hidden="false" customHeight="true" outlineLevel="0" collapsed="false">
      <c r="B29" s="37"/>
      <c r="C29" s="37"/>
      <c r="D29" s="38" t="s">
        <v>82</v>
      </c>
      <c r="E29" s="37"/>
      <c r="F29" s="37"/>
      <c r="G29" s="37"/>
      <c r="H29" s="37"/>
      <c r="I29" s="37"/>
      <c r="J29" s="37"/>
      <c r="K29" s="39" t="n">
        <f aca="false">SUM(K9:K28)</f>
        <v>66</v>
      </c>
      <c r="L29" s="39" t="n">
        <f aca="false">SUM(L9:L28)</f>
        <v>0</v>
      </c>
      <c r="M29" s="40" t="str">
        <f aca="false">IF(COUNT(L9:L28)=0,"",L29-SUMIF(L9:L28,"&lt;&gt;",K9:K28))</f>
        <v/>
      </c>
      <c r="N29" s="41" t="n">
        <f aca="false">IFERROR(SUMPRODUCT(K9:K28,N9:N28)/K29,0)</f>
        <v>0</v>
      </c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</row>
    <row r="31" customFormat="false" ht="15" hidden="false" customHeight="false" outlineLevel="0" collapsed="false">
      <c r="B31" s="42" t="s">
        <v>83</v>
      </c>
    </row>
    <row r="32" customFormat="false" ht="15" hidden="false" customHeight="false" outlineLevel="0" collapsed="false">
      <c r="B32" s="43" t="s">
        <v>84</v>
      </c>
    </row>
    <row r="33" customFormat="false" ht="15" hidden="false" customHeight="false" outlineLevel="0" collapsed="false">
      <c r="B33" s="43" t="s">
        <v>85</v>
      </c>
    </row>
    <row r="34" customFormat="false" ht="15" hidden="false" customHeight="false" outlineLevel="0" collapsed="false">
      <c r="B34" s="43" t="s">
        <v>86</v>
      </c>
    </row>
    <row r="35" customFormat="false" ht="15" hidden="false" customHeight="false" outlineLevel="0" collapsed="false">
      <c r="B35" s="43" t="s">
        <v>87</v>
      </c>
    </row>
  </sheetData>
  <mergeCells count="22">
    <mergeCell ref="G4:H4"/>
    <mergeCell ref="I4:J4"/>
    <mergeCell ref="K4:L4"/>
    <mergeCell ref="M4:N4"/>
    <mergeCell ref="G5:H5"/>
    <mergeCell ref="I5:J5"/>
    <mergeCell ref="K5:L5"/>
    <mergeCell ref="M5:N5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</mergeCells>
  <conditionalFormatting sqref="P9:AE28">
    <cfRule type="expression" priority="2" aboveAverage="0" equalAverage="0" bottom="0" percent="0" rank="0" text="" dxfId="0">
      <formula>AND(P$7&gt;=$G9,P$7&lt;=$G9+$H9-1,$C9="0 · Planificación",P$7&lt;$G9+$H9*$N9)</formula>
    </cfRule>
    <cfRule type="expression" priority="3" aboveAverage="0" equalAverage="0" bottom="0" percent="0" rank="0" text="" dxfId="1">
      <formula>AND(P$7&gt;=$G9,P$7&lt;=$G9+$H9-1,$C9="0 · Planificación")</formula>
    </cfRule>
    <cfRule type="expression" priority="4" aboveAverage="0" equalAverage="0" bottom="0" percent="0" rank="0" text="" dxfId="2">
      <formula>AND(P$7&gt;=$G9,P$7&lt;=$G9+$H9-1,$C9="1 · Infraestructura",P$7&lt;$G9+$H9*$N9)</formula>
    </cfRule>
    <cfRule type="expression" priority="5" aboveAverage="0" equalAverage="0" bottom="0" percent="0" rank="0" text="" dxfId="3">
      <formula>AND(P$7&gt;=$G9,P$7&lt;=$G9+$H9-1,$C9="1 · Infraestructura")</formula>
    </cfRule>
    <cfRule type="expression" priority="6" aboveAverage="0" equalAverage="0" bottom="0" percent="0" rank="0" text="" dxfId="4">
      <formula>AND(P$7&gt;=$G9,P$7&lt;=$G9+$H9-1,$C9="2 · Ingesta",P$7&lt;$G9+$H9*$N9)</formula>
    </cfRule>
    <cfRule type="expression" priority="7" aboveAverage="0" equalAverage="0" bottom="0" percent="0" rank="0" text="" dxfId="5">
      <formula>AND(P$7&gt;=$G9,P$7&lt;=$G9+$H9-1,$C9="2 · Ingesta")</formula>
    </cfRule>
    <cfRule type="expression" priority="8" aboveAverage="0" equalAverage="0" bottom="0" percent="0" rank="0" text="" dxfId="6">
      <formula>AND(P$7&gt;=$G9,P$7&lt;=$G9+$H9-1,$C9="3 · ETL",P$7&lt;$G9+$H9*$N9)</formula>
    </cfRule>
    <cfRule type="expression" priority="9" aboveAverage="0" equalAverage="0" bottom="0" percent="0" rank="0" text="" dxfId="7">
      <formula>AND(P$7&gt;=$G9,P$7&lt;=$G9+$H9-1,$C9="3 · ETL")</formula>
    </cfRule>
    <cfRule type="expression" priority="10" aboveAverage="0" equalAverage="0" bottom="0" percent="0" rank="0" text="" dxfId="8">
      <formula>AND(P$7&gt;=$G9,P$7&lt;=$G9+$H9-1,$C9="4 · Modelo",P$7&lt;$G9+$H9*$N9)</formula>
    </cfRule>
    <cfRule type="expression" priority="11" aboveAverage="0" equalAverage="0" bottom="0" percent="0" rank="0" text="" dxfId="9">
      <formula>AND(P$7&gt;=$G9,P$7&lt;=$G9+$H9-1,$C9="4 · Modelo")</formula>
    </cfRule>
    <cfRule type="expression" priority="12" aboveAverage="0" equalAverage="0" bottom="0" percent="0" rank="0" text="" dxfId="10">
      <formula>AND(P$7&gt;=$G9,P$7&lt;=$G9+$H9-1,$C9="5 · Failover",P$7&lt;$G9+$H9*$N9)</formula>
    </cfRule>
    <cfRule type="expression" priority="13" aboveAverage="0" equalAverage="0" bottom="0" percent="0" rank="0" text="" dxfId="11">
      <formula>AND(P$7&gt;=$G9,P$7&lt;=$G9+$H9-1,$C9="5 · Failover")</formula>
    </cfRule>
    <cfRule type="expression" priority="14" aboveAverage="0" equalAverage="0" bottom="0" percent="0" rank="0" text="" dxfId="12">
      <formula>AND(P$7&gt;=$G9,P$7&lt;=$G9+$H9-1,$C9="6 · Análisis crítico",P$7&lt;$G9+$H9*$N9)</formula>
    </cfRule>
    <cfRule type="expression" priority="15" aboveAverage="0" equalAverage="0" bottom="0" percent="0" rank="0" text="" dxfId="13">
      <formula>AND(P$7&gt;=$G9,P$7&lt;=$G9+$H9-1,$C9="6 · Análisis crítico")</formula>
    </cfRule>
    <cfRule type="expression" priority="16" aboveAverage="0" equalAverage="0" bottom="0" percent="0" rank="0" text="" dxfId="14">
      <formula>AND(P$7&gt;=$G9,P$7&lt;=$G9+$H9-1,$C9="7 · Informe y defensa",P$7&lt;$G9+$H9*$N9)</formula>
    </cfRule>
    <cfRule type="expression" priority="17" aboveAverage="0" equalAverage="0" bottom="0" percent="0" rank="0" text="" dxfId="15">
      <formula>AND(P$7&gt;=$G9,P$7&lt;=$G9+$H9-1,$C9="7 · Informe y defensa")</formula>
    </cfRule>
    <cfRule type="expression" priority="18" aboveAverage="0" equalAverage="0" bottom="0" percent="0" rank="0" text="" dxfId="16">
      <formula>AND(P$7&gt;=$G9,P$7&lt;=$G9+$H9-1,$C9="Hito",P$7&lt;$G9+$H9*$N9)</formula>
    </cfRule>
    <cfRule type="expression" priority="19" aboveAverage="0" equalAverage="0" bottom="0" percent="0" rank="0" text="" dxfId="17">
      <formula>AND(P$7&gt;=$G9,P$7&lt;=$G9+$H9-1,$C9="Hito")</formula>
    </cfRule>
    <cfRule type="expression" priority="20" aboveAverage="0" equalAverage="0" bottom="0" percent="0" rank="0" text="" dxfId="18">
      <formula>P$8=TODAY()</formula>
    </cfRule>
    <cfRule type="expression" priority="21" aboveAverage="0" equalAverage="0" bottom="0" percent="0" rank="0" text="" dxfId="19">
      <formula>WEEKDAY(P$8,2)&gt;5</formula>
    </cfRule>
  </conditionalFormatting>
  <conditionalFormatting sqref="P6:AE8">
    <cfRule type="expression" priority="22" aboveAverage="0" equalAverage="0" bottom="0" percent="0" rank="0" text="" dxfId="20">
      <formula>P$8=TODAY()</formula>
    </cfRule>
    <cfRule type="expression" priority="23" aboveAverage="0" equalAverage="0" bottom="0" percent="0" rank="0" text="" dxfId="21">
      <formula>WEEKDAY(P$8,2)&gt;5</formula>
    </cfRule>
  </conditionalFormatting>
  <conditionalFormatting sqref="O9:O28">
    <cfRule type="cellIs" priority="24" operator="equal" aboveAverage="0" equalAverage="0" bottom="0" percent="0" rank="0" text="" dxfId="22">
      <formula>"Completado"</formula>
    </cfRule>
    <cfRule type="cellIs" priority="25" operator="equal" aboveAverage="0" equalAverage="0" bottom="0" percent="0" rank="0" text="" dxfId="23">
      <formula>"En curso"</formula>
    </cfRule>
    <cfRule type="cellIs" priority="26" operator="equal" aboveAverage="0" equalAverage="0" bottom="0" percent="0" rank="0" text="" dxfId="24">
      <formula>"Atrasado"</formula>
    </cfRule>
    <cfRule type="cellIs" priority="27" operator="equal" aboveAverage="0" equalAverage="0" bottom="0" percent="0" rank="0" text="" dxfId="25">
      <formula>"Pendiente"</formula>
    </cfRule>
  </conditionalFormatting>
  <conditionalFormatting sqref="M9:M28">
    <cfRule type="expression" priority="28" aboveAverage="0" equalAverage="0" bottom="0" percent="0" rank="0" text="" dxfId="26">
      <formula>AND(ISNUMBER(M9),M9&gt;0)</formula>
    </cfRule>
    <cfRule type="expression" priority="29" aboveAverage="0" equalAverage="0" bottom="0" percent="0" rank="0" text="" dxfId="27">
      <formula>AND(ISNUMBER(M9),M9&lt;0)</formula>
    </cfRule>
  </conditionalFormatting>
  <conditionalFormatting sqref="N9:N28">
    <cfRule type="dataBar" priority="30">
      <dataBar showValue="1" minLength="10" maxLength="90">
        <cfvo type="num" val="0"/>
        <cfvo type="num" val="1"/>
        <color rgb="FF9CC3E6"/>
      </dataBar>
      <extLst>
        <ext xmlns:x14="http://schemas.microsoft.com/office/spreadsheetml/2009/9/main" uri="{B025F937-C7B1-47D3-B67F-A62EFF666E3E}">
          <x14:id>{A5CEB76F-4895-49BF-A9ED-8B8350B3603A}</x14:id>
        </ext>
      </extLst>
    </cfRule>
  </conditionalFormatting>
  <dataValidations count="3">
    <dataValidation allowBlank="false" errorStyle="stop" operator="between" showDropDown="false" showErrorMessage="false" showInputMessage="false" sqref="E9:E28" type="list">
      <formula1>"Integrante 1,Integrante 2,Integrante 3,Todos"</formula1>
      <formula2>0</formula2>
    </dataValidation>
    <dataValidation allowBlank="false" error="Ingrese un valor entre 0% y 100%." errorStyle="stop" errorTitle="% avance" operator="between" showDropDown="false" showErrorMessage="true" showInputMessage="false" sqref="N9:N28" type="decimal">
      <formula1>0</formula1>
      <formula2>1</formula2>
    </dataValidation>
    <dataValidation allowBlank="false" error="Ingrese un día entre 1 y 16." errorStyle="stop" errorTitle="Día" operator="between" showDropDown="false" showErrorMessage="true" showInputMessage="false" sqref="G9:G28" type="whole">
      <formula1>1</formula1>
      <formula2>16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CEB76F-4895-49BF-A9ED-8B8350B3603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9CC3E6"/>
              <x14:axisColor rgb="FF000000"/>
            </x14:dataBar>
          </x14:cfRule>
          <xm:sqref>N9:N28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A17E"/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6" min="3" style="0" width="13"/>
  </cols>
  <sheetData>
    <row r="1" customFormat="false" ht="27.75" hidden="false" customHeight="true" outlineLevel="0" collapsed="false">
      <c r="A1" s="44" t="s">
        <v>88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45" t="s">
        <v>89</v>
      </c>
      <c r="B2" s="1"/>
      <c r="C2" s="1"/>
      <c r="D2" s="1"/>
      <c r="E2" s="1"/>
      <c r="F2" s="1"/>
    </row>
    <row r="4" customFormat="false" ht="15" hidden="false" customHeight="false" outlineLevel="0" collapsed="false">
      <c r="A4" s="46" t="s">
        <v>90</v>
      </c>
    </row>
    <row r="5" customFormat="false" ht="21.75" hidden="false" customHeight="true" outlineLevel="0" collapsed="false">
      <c r="A5" s="47" t="s">
        <v>9</v>
      </c>
      <c r="B5" s="48" t="s">
        <v>91</v>
      </c>
      <c r="C5" s="48" t="s">
        <v>92</v>
      </c>
      <c r="D5" s="48" t="s">
        <v>93</v>
      </c>
      <c r="E5" s="48" t="s">
        <v>94</v>
      </c>
      <c r="F5" s="48" t="s">
        <v>95</v>
      </c>
    </row>
    <row r="6" customFormat="false" ht="19.5" hidden="false" customHeight="true" outlineLevel="0" collapsed="false">
      <c r="A6" s="49" t="s">
        <v>23</v>
      </c>
      <c r="B6" s="50" t="n">
        <f aca="false">COUNTIF(Gantt!$C$9:$C$28,A6)</f>
        <v>1</v>
      </c>
      <c r="C6" s="51" t="n">
        <f aca="false">SUMIFS(Gantt!$K$9:$K$28,Gantt!$C$9:$C$28,A6)</f>
        <v>2</v>
      </c>
      <c r="D6" s="51" t="n">
        <f aca="false">SUMIFS(Gantt!$L$9:$L$28,Gantt!$C$9:$C$28,A6)</f>
        <v>0</v>
      </c>
      <c r="E6" s="24" t="str">
        <f aca="false">IF(COUNTIFS(Gantt!$C$9:$C$28,A6,Gantt!$L$9:$L$28,"&lt;&gt;")=0,"",D6-SUMIFS(Gantt!$K$9:$K$28,Gantt!$C$9:$C$28,A6,Gantt!$L$9:$L$28,"&lt;&gt;"))</f>
        <v/>
      </c>
      <c r="F6" s="52" t="n">
        <f aca="false">IFERROR(SUMPRODUCT((Gantt!$C$9:$C$28=A6)*Gantt!$K$9:$K$28*Gantt!$N$9:$N$28)/C6,0)</f>
        <v>0</v>
      </c>
    </row>
    <row r="7" customFormat="false" ht="19.5" hidden="false" customHeight="true" outlineLevel="0" collapsed="false">
      <c r="A7" s="53" t="s">
        <v>28</v>
      </c>
      <c r="B7" s="50" t="n">
        <f aca="false">COUNTIF(Gantt!$C$9:$C$28,A7)</f>
        <v>3</v>
      </c>
      <c r="C7" s="51" t="n">
        <f aca="false">SUMIFS(Gantt!$K$9:$K$28,Gantt!$C$9:$C$28,A7)</f>
        <v>9</v>
      </c>
      <c r="D7" s="51" t="n">
        <f aca="false">SUMIFS(Gantt!$L$9:$L$28,Gantt!$C$9:$C$28,A7)</f>
        <v>0</v>
      </c>
      <c r="E7" s="24" t="str">
        <f aca="false">IF(COUNTIFS(Gantt!$C$9:$C$28,A7,Gantt!$L$9:$L$28,"&lt;&gt;")=0,"",D7-SUMIFS(Gantt!$K$9:$K$28,Gantt!$C$9:$C$28,A7,Gantt!$L$9:$L$28,"&lt;&gt;"))</f>
        <v/>
      </c>
      <c r="F7" s="52" t="n">
        <f aca="false">IFERROR(SUMPRODUCT((Gantt!$C$9:$C$28=A7)*Gantt!$K$9:$K$28*Gantt!$N$9:$N$28)/C7,0)</f>
        <v>0</v>
      </c>
    </row>
    <row r="8" customFormat="false" ht="19.5" hidden="false" customHeight="true" outlineLevel="0" collapsed="false">
      <c r="A8" s="54" t="s">
        <v>35</v>
      </c>
      <c r="B8" s="50" t="n">
        <f aca="false">COUNTIF(Gantt!$C$9:$C$28,A8)</f>
        <v>1</v>
      </c>
      <c r="C8" s="51" t="n">
        <f aca="false">SUMIFS(Gantt!$K$9:$K$28,Gantt!$C$9:$C$28,A8)</f>
        <v>3</v>
      </c>
      <c r="D8" s="51" t="n">
        <f aca="false">SUMIFS(Gantt!$L$9:$L$28,Gantt!$C$9:$C$28,A8)</f>
        <v>0</v>
      </c>
      <c r="E8" s="24" t="str">
        <f aca="false">IF(COUNTIFS(Gantt!$C$9:$C$28,A8,Gantt!$L$9:$L$28,"&lt;&gt;")=0,"",D8-SUMIFS(Gantt!$K$9:$K$28,Gantt!$C$9:$C$28,A8,Gantt!$L$9:$L$28,"&lt;&gt;"))</f>
        <v/>
      </c>
      <c r="F8" s="52" t="n">
        <f aca="false">IFERROR(SUMPRODUCT((Gantt!$C$9:$C$28=A8)*Gantt!$K$9:$K$28*Gantt!$N$9:$N$28)/C8,0)</f>
        <v>0</v>
      </c>
    </row>
    <row r="9" customFormat="false" ht="19.5" hidden="false" customHeight="true" outlineLevel="0" collapsed="false">
      <c r="A9" s="55" t="s">
        <v>43</v>
      </c>
      <c r="B9" s="50" t="n">
        <f aca="false">COUNTIF(Gantt!$C$9:$C$28,A9)</f>
        <v>2</v>
      </c>
      <c r="C9" s="51" t="n">
        <f aca="false">SUMIFS(Gantt!$K$9:$K$28,Gantt!$C$9:$C$28,A9)</f>
        <v>11</v>
      </c>
      <c r="D9" s="51" t="n">
        <f aca="false">SUMIFS(Gantt!$L$9:$L$28,Gantt!$C$9:$C$28,A9)</f>
        <v>0</v>
      </c>
      <c r="E9" s="24" t="str">
        <f aca="false">IF(COUNTIFS(Gantt!$C$9:$C$28,A9,Gantt!$L$9:$L$28,"&lt;&gt;")=0,"",D9-SUMIFS(Gantt!$K$9:$K$28,Gantt!$C$9:$C$28,A9,Gantt!$L$9:$L$28,"&lt;&gt;"))</f>
        <v/>
      </c>
      <c r="F9" s="52" t="n">
        <f aca="false">IFERROR(SUMPRODUCT((Gantt!$C$9:$C$28=A9)*Gantt!$K$9:$K$28*Gantt!$N$9:$N$28)/C9,0)</f>
        <v>0</v>
      </c>
    </row>
    <row r="10" customFormat="false" ht="19.5" hidden="false" customHeight="true" outlineLevel="0" collapsed="false">
      <c r="A10" s="56" t="s">
        <v>49</v>
      </c>
      <c r="B10" s="50" t="n">
        <f aca="false">COUNTIF(Gantt!$C$9:$C$28,A10)</f>
        <v>2</v>
      </c>
      <c r="C10" s="51" t="n">
        <f aca="false">SUMIFS(Gantt!$K$9:$K$28,Gantt!$C$9:$C$28,A10)</f>
        <v>10</v>
      </c>
      <c r="D10" s="51" t="n">
        <f aca="false">SUMIFS(Gantt!$L$9:$L$28,Gantt!$C$9:$C$28,A10)</f>
        <v>0</v>
      </c>
      <c r="E10" s="24" t="str">
        <f aca="false">IF(COUNTIFS(Gantt!$C$9:$C$28,A10,Gantt!$L$9:$L$28,"&lt;&gt;")=0,"",D10-SUMIFS(Gantt!$K$9:$K$28,Gantt!$C$9:$C$28,A10,Gantt!$L$9:$L$28,"&lt;&gt;"))</f>
        <v/>
      </c>
      <c r="F10" s="52" t="n">
        <f aca="false">IFERROR(SUMPRODUCT((Gantt!$C$9:$C$28=A10)*Gantt!$K$9:$K$28*Gantt!$N$9:$N$28)/C10,0)</f>
        <v>0</v>
      </c>
    </row>
    <row r="11" customFormat="false" ht="19.5" hidden="false" customHeight="true" outlineLevel="0" collapsed="false">
      <c r="A11" s="57" t="s">
        <v>56</v>
      </c>
      <c r="B11" s="50" t="n">
        <f aca="false">COUNTIF(Gantt!$C$9:$C$28,A11)</f>
        <v>2</v>
      </c>
      <c r="C11" s="51" t="n">
        <f aca="false">SUMIFS(Gantt!$K$9:$K$28,Gantt!$C$9:$C$28,A11)</f>
        <v>8</v>
      </c>
      <c r="D11" s="51" t="n">
        <f aca="false">SUMIFS(Gantt!$L$9:$L$28,Gantt!$C$9:$C$28,A11)</f>
        <v>0</v>
      </c>
      <c r="E11" s="24" t="str">
        <f aca="false">IF(COUNTIFS(Gantt!$C$9:$C$28,A11,Gantt!$L$9:$L$28,"&lt;&gt;")=0,"",D11-SUMIFS(Gantt!$K$9:$K$28,Gantt!$C$9:$C$28,A11,Gantt!$L$9:$L$28,"&lt;&gt;"))</f>
        <v/>
      </c>
      <c r="F11" s="52" t="n">
        <f aca="false">IFERROR(SUMPRODUCT((Gantt!$C$9:$C$28=A11)*Gantt!$K$9:$K$28*Gantt!$N$9:$N$28)/C11,0)</f>
        <v>0</v>
      </c>
    </row>
    <row r="12" customFormat="false" ht="19.5" hidden="false" customHeight="true" outlineLevel="0" collapsed="false">
      <c r="A12" s="58" t="s">
        <v>65</v>
      </c>
      <c r="B12" s="50" t="n">
        <f aca="false">COUNTIF(Gantt!$C$9:$C$28,A12)</f>
        <v>2</v>
      </c>
      <c r="C12" s="51" t="n">
        <f aca="false">SUMIFS(Gantt!$K$9:$K$28,Gantt!$C$9:$C$28,A12)</f>
        <v>8</v>
      </c>
      <c r="D12" s="51" t="n">
        <f aca="false">SUMIFS(Gantt!$L$9:$L$28,Gantt!$C$9:$C$28,A12)</f>
        <v>0</v>
      </c>
      <c r="E12" s="24" t="str">
        <f aca="false">IF(COUNTIFS(Gantt!$C$9:$C$28,A12,Gantt!$L$9:$L$28,"&lt;&gt;")=0,"",D12-SUMIFS(Gantt!$K$9:$K$28,Gantt!$C$9:$C$28,A12,Gantt!$L$9:$L$28,"&lt;&gt;"))</f>
        <v/>
      </c>
      <c r="F12" s="52" t="n">
        <f aca="false">IFERROR(SUMPRODUCT((Gantt!$C$9:$C$28=A12)*Gantt!$K$9:$K$28*Gantt!$N$9:$N$28)/C12,0)</f>
        <v>0</v>
      </c>
    </row>
    <row r="13" customFormat="false" ht="19.5" hidden="false" customHeight="true" outlineLevel="0" collapsed="false">
      <c r="A13" s="59" t="s">
        <v>70</v>
      </c>
      <c r="B13" s="50" t="n">
        <f aca="false">COUNTIF(Gantt!$C$9:$C$28,A13)</f>
        <v>4</v>
      </c>
      <c r="C13" s="51" t="n">
        <f aca="false">SUMIFS(Gantt!$K$9:$K$28,Gantt!$C$9:$C$28,A13)</f>
        <v>15</v>
      </c>
      <c r="D13" s="51" t="n">
        <f aca="false">SUMIFS(Gantt!$L$9:$L$28,Gantt!$C$9:$C$28,A13)</f>
        <v>0</v>
      </c>
      <c r="E13" s="24" t="str">
        <f aca="false">IF(COUNTIFS(Gantt!$C$9:$C$28,A13,Gantt!$L$9:$L$28,"&lt;&gt;")=0,"",D13-SUMIFS(Gantt!$K$9:$K$28,Gantt!$C$9:$C$28,A13,Gantt!$L$9:$L$28,"&lt;&gt;"))</f>
        <v/>
      </c>
      <c r="F13" s="52" t="n">
        <f aca="false">IFERROR(SUMPRODUCT((Gantt!$C$9:$C$28=A13)*Gantt!$K$9:$K$28*Gantt!$N$9:$N$28)/C13,0)</f>
        <v>0</v>
      </c>
    </row>
    <row r="14" customFormat="false" ht="15" hidden="false" customHeight="false" outlineLevel="0" collapsed="false">
      <c r="A14" s="60" t="s">
        <v>96</v>
      </c>
      <c r="B14" s="61" t="n">
        <f aca="false">SUM(B6:B13)</f>
        <v>17</v>
      </c>
      <c r="C14" s="62" t="n">
        <f aca="false">SUM(C6:C13)</f>
        <v>66</v>
      </c>
      <c r="D14" s="62" t="n">
        <f aca="false">SUM(D6:D13)</f>
        <v>0</v>
      </c>
      <c r="E14" s="37"/>
      <c r="F14" s="63" t="n">
        <f aca="false">IFERROR(SUMPRODUCT(C6:C13,F6:F13)/C14,0)</f>
        <v>0</v>
      </c>
    </row>
    <row r="16" customFormat="false" ht="15" hidden="false" customHeight="false" outlineLevel="0" collapsed="false">
      <c r="A16" s="46" t="s">
        <v>97</v>
      </c>
    </row>
    <row r="17" customFormat="false" ht="21.75" hidden="false" customHeight="true" outlineLevel="0" collapsed="false">
      <c r="A17" s="47" t="s">
        <v>11</v>
      </c>
      <c r="B17" s="48" t="s">
        <v>91</v>
      </c>
      <c r="C17" s="48" t="s">
        <v>92</v>
      </c>
      <c r="D17" s="48" t="s">
        <v>93</v>
      </c>
      <c r="E17" s="48" t="s">
        <v>94</v>
      </c>
      <c r="F17" s="48"/>
    </row>
    <row r="18" customFormat="false" ht="19.5" hidden="false" customHeight="true" outlineLevel="0" collapsed="false">
      <c r="A18" s="64" t="s">
        <v>25</v>
      </c>
      <c r="B18" s="50" t="n">
        <f aca="false">COUNTIFS(Gantt!$E$9:$E$28,A18,Gantt!$C$9:$C$28,"&lt;&gt;Hito")</f>
        <v>6</v>
      </c>
      <c r="C18" s="51" t="n">
        <f aca="false">SUMIFS(Gantt!$K$9:$K$28,Gantt!$E$9:$E$28,A18)</f>
        <v>17</v>
      </c>
      <c r="D18" s="51" t="n">
        <f aca="false">SUMIFS(Gantt!$L$9:$L$28,Gantt!$E$9:$E$28,A18)</f>
        <v>0</v>
      </c>
      <c r="E18" s="24" t="str">
        <f aca="false">IF(COUNTIFS(Gantt!$E$9:$E$28,A18,Gantt!$L$9:$L$28,"&lt;&gt;")=0,"",D18-SUMIFS(Gantt!$K$9:$K$28,Gantt!$E$9:$E$28,A18,Gantt!$L$9:$L$28,"&lt;&gt;"))</f>
        <v/>
      </c>
    </row>
    <row r="19" customFormat="false" ht="19.5" hidden="false" customHeight="true" outlineLevel="0" collapsed="false">
      <c r="A19" s="64" t="s">
        <v>45</v>
      </c>
      <c r="B19" s="50" t="n">
        <f aca="false">COUNTIFS(Gantt!$E$9:$E$28,A19,Gantt!$C$9:$C$28,"&lt;&gt;Hito")</f>
        <v>4</v>
      </c>
      <c r="C19" s="51" t="n">
        <f aca="false">SUMIFS(Gantt!$K$9:$K$28,Gantt!$E$9:$E$28,A19)</f>
        <v>17</v>
      </c>
      <c r="D19" s="51" t="n">
        <f aca="false">SUMIFS(Gantt!$L$9:$L$28,Gantt!$E$9:$E$28,A19)</f>
        <v>0</v>
      </c>
      <c r="E19" s="24" t="str">
        <f aca="false">IF(COUNTIFS(Gantt!$E$9:$E$28,A19,Gantt!$L$9:$L$28,"&lt;&gt;")=0,"",D19-SUMIFS(Gantt!$K$9:$K$28,Gantt!$E$9:$E$28,A19,Gantt!$L$9:$L$28,"&lt;&gt;"))</f>
        <v/>
      </c>
    </row>
    <row r="20" customFormat="false" ht="19.5" hidden="false" customHeight="true" outlineLevel="0" collapsed="false">
      <c r="A20" s="64" t="s">
        <v>51</v>
      </c>
      <c r="B20" s="50" t="n">
        <f aca="false">COUNTIFS(Gantt!$E$9:$E$28,A20,Gantt!$C$9:$C$28,"&lt;&gt;Hito")</f>
        <v>3</v>
      </c>
      <c r="C20" s="51" t="n">
        <f aca="false">SUMIFS(Gantt!$K$9:$K$28,Gantt!$E$9:$E$28,A20)</f>
        <v>14</v>
      </c>
      <c r="D20" s="51" t="n">
        <f aca="false">SUMIFS(Gantt!$L$9:$L$28,Gantt!$E$9:$E$28,A20)</f>
        <v>0</v>
      </c>
      <c r="E20" s="24" t="str">
        <f aca="false">IF(COUNTIFS(Gantt!$E$9:$E$28,A20,Gantt!$L$9:$L$28,"&lt;&gt;")=0,"",D20-SUMIFS(Gantt!$K$9:$K$28,Gantt!$E$9:$E$28,A20,Gantt!$L$9:$L$28,"&lt;&gt;"))</f>
        <v/>
      </c>
    </row>
    <row r="21" customFormat="false" ht="19.5" hidden="false" customHeight="true" outlineLevel="0" collapsed="false">
      <c r="A21" s="64" t="s">
        <v>40</v>
      </c>
      <c r="B21" s="50" t="n">
        <f aca="false">COUNTIFS(Gantt!$E$9:$E$28,A21,Gantt!$C$9:$C$28,"&lt;&gt;Hito")</f>
        <v>4</v>
      </c>
      <c r="C21" s="51" t="n">
        <f aca="false">SUMIFS(Gantt!$K$9:$K$28,Gantt!$E$9:$E$28,A21)</f>
        <v>18</v>
      </c>
      <c r="D21" s="51" t="n">
        <f aca="false">SUMIFS(Gantt!$L$9:$L$28,Gantt!$E$9:$E$28,A21)</f>
        <v>0</v>
      </c>
      <c r="E21" s="24" t="str">
        <f aca="false">IF(COUNTIFS(Gantt!$E$9:$E$28,A21,Gantt!$L$9:$L$28,"&lt;&gt;")=0,"",D21-SUMIFS(Gantt!$K$9:$K$28,Gantt!$E$9:$E$28,A21,Gantt!$L$9:$L$28,"&lt;&gt;"))</f>
        <v/>
      </c>
    </row>
    <row r="23" customFormat="false" ht="15" hidden="false" customHeight="false" outlineLevel="0" collapsed="false">
      <c r="A23" s="43" t="s">
        <v>98</v>
      </c>
    </row>
    <row r="24" customFormat="false" ht="15" hidden="false" customHeight="false" outlineLevel="0" collapsed="false">
      <c r="A24" s="43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2026-10-13T00:47:59Z</dcterms:created>
  <dc:creator>openpyxl</dc:creator>
  <dc:description/>
  <dc:language>en-US</dc:language>
  <cp:lastModifiedBy/>
  <dcterms:modified xsi:type="dcterms:W3CDTF">2026-10-13T00:48:01Z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